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reya\Stellin\macro\"/>
    </mc:Choice>
  </mc:AlternateContent>
  <xr:revisionPtr revIDLastSave="0" documentId="13_ncr:1_{44ABF425-3524-415F-AF96-D7AEF1E01966}" xr6:coauthVersionLast="45" xr6:coauthVersionMax="47" xr10:uidLastSave="{00000000-0000-0000-0000-000000000000}"/>
  <bookViews>
    <workbookView xWindow="-120" yWindow="-120" windowWidth="29040" windowHeight="15720" tabRatio="739" firstSheet="1" activeTab="3" xr2:uid="{F196924C-93B9-450C-A5E5-06E6617D10E4}"/>
  </bookViews>
  <sheets>
    <sheet name="Hoja1" sheetId="1" r:id="rId1"/>
    <sheet name="INICIO" sheetId="114" r:id="rId2"/>
    <sheet name="MANUAL" sheetId="58" r:id="rId3"/>
    <sheet name="ASIGNACIONES_DIARIAS" sheetId="59" r:id="rId4"/>
    <sheet name="OPERARIAS" sheetId="60" r:id="rId5"/>
    <sheet name="REFERENCIAS" sheetId="61" r:id="rId6"/>
    <sheet name="COLORES" sheetId="62" r:id="rId7"/>
    <sheet name="TALLAS" sheetId="63" r:id="rId8"/>
    <sheet name="TAREAS" sheetId="64" r:id="rId9"/>
    <sheet name="LOTES" sheetId="65" r:id="rId10"/>
    <sheet name="PARAMETROS" sheetId="94" r:id="rId11"/>
    <sheet name="DIAS_NO_LABORALES" sheetId="95" r:id="rId12"/>
    <sheet name="EFICIENCIA_OPERARIAS" sheetId="103" r:id="rId13"/>
    <sheet name="AVANCE_PRODUCCION" sheetId="104" r:id="rId14"/>
    <sheet name="REPORTE_LOTES" sheetId="105" r:id="rId15"/>
    <sheet name="RESUMEN_DIARIO" sheetId="107" r:id="rId16"/>
    <sheet name="PRODUCCION_FINALIZADA" sheetId="108" r:id="rId17"/>
    <sheet name="ANALISIS_TIEMPOS" sheetId="109" r:id="rId18"/>
    <sheet name="INFORME_CONSOLIDADO" sheetId="116" r:id="rId19"/>
    <sheet name="ARCHIVO_ASIGNACIONES" sheetId="110" r:id="rId20"/>
    <sheet name="MATRIZ_ASIGNACION" sheetId="111" r:id="rId21"/>
    <sheet name="TRAZABILIDAD_LOTE" sheetId="112" r:id="rId22"/>
  </sheets>
  <functionGroups builtInGroupCount="19"/>
  <definedNames>
    <definedName name="_xlnm._FilterDatabase" localSheetId="3" hidden="1">ASIGNACIONES_DIARIAS!$A$3:$V$463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5" i="59" l="1"/>
  <c r="V6" i="59"/>
  <c r="V7" i="59"/>
  <c r="V8" i="59"/>
  <c r="V9" i="59"/>
  <c r="V10" i="59"/>
  <c r="V11" i="59"/>
  <c r="V12" i="59"/>
  <c r="V13" i="59"/>
  <c r="V14" i="59"/>
  <c r="V15" i="59"/>
  <c r="V16" i="59"/>
  <c r="V17" i="59"/>
  <c r="V18" i="59"/>
  <c r="V19" i="59"/>
  <c r="V20" i="59"/>
  <c r="V21" i="59"/>
  <c r="V22" i="59"/>
  <c r="V23" i="59"/>
  <c r="V24" i="59"/>
  <c r="V25" i="59"/>
  <c r="V26" i="59"/>
  <c r="V27" i="59"/>
  <c r="V28" i="59"/>
  <c r="V29" i="59"/>
  <c r="V30" i="59"/>
  <c r="V31" i="59"/>
  <c r="V32" i="59"/>
  <c r="V33" i="59"/>
  <c r="V34" i="59"/>
  <c r="V35" i="59"/>
  <c r="V36" i="59"/>
  <c r="V37" i="59"/>
  <c r="V38" i="59"/>
  <c r="V39" i="59"/>
  <c r="V40" i="59"/>
  <c r="V41" i="59"/>
  <c r="V42" i="59"/>
  <c r="V43" i="59"/>
  <c r="V44" i="59"/>
  <c r="V45" i="59"/>
  <c r="V46" i="59"/>
  <c r="V47" i="59"/>
  <c r="V48" i="59"/>
  <c r="V49" i="59"/>
  <c r="V50" i="59"/>
  <c r="V51" i="59"/>
  <c r="V52" i="59"/>
  <c r="V53" i="59"/>
  <c r="V54" i="59"/>
  <c r="V55" i="59"/>
  <c r="V56" i="59"/>
  <c r="V57" i="59"/>
  <c r="V58" i="59"/>
  <c r="V59" i="59"/>
  <c r="V60" i="59"/>
  <c r="V61" i="59"/>
  <c r="V62" i="59"/>
  <c r="V63" i="59"/>
  <c r="V64" i="59"/>
  <c r="V65" i="59"/>
  <c r="V66" i="59"/>
  <c r="V67" i="59"/>
  <c r="V68" i="59"/>
  <c r="V69" i="59"/>
  <c r="V70" i="59"/>
  <c r="V71" i="59"/>
  <c r="V72" i="59"/>
  <c r="V73" i="59"/>
  <c r="V74" i="59"/>
  <c r="V75" i="59"/>
  <c r="V76" i="59"/>
  <c r="V77" i="59"/>
  <c r="V78" i="59"/>
  <c r="V79" i="59"/>
  <c r="V80" i="59"/>
  <c r="V81" i="59"/>
  <c r="V82" i="59"/>
  <c r="V83" i="59"/>
  <c r="V84" i="59"/>
  <c r="V85" i="59"/>
  <c r="V86" i="59"/>
  <c r="V87" i="59"/>
  <c r="V88" i="59"/>
  <c r="V89" i="59"/>
  <c r="V90" i="59"/>
  <c r="V91" i="59"/>
  <c r="V92" i="59"/>
  <c r="V93" i="59"/>
  <c r="V94" i="59"/>
  <c r="V95" i="59"/>
  <c r="V96" i="59"/>
  <c r="V97" i="59"/>
  <c r="V98" i="59"/>
  <c r="V99" i="59"/>
  <c r="V100" i="59"/>
  <c r="V101" i="59"/>
  <c r="V102" i="59"/>
  <c r="V103" i="59"/>
  <c r="V104" i="59"/>
  <c r="V105" i="59"/>
  <c r="V106" i="59"/>
  <c r="V107" i="59"/>
  <c r="V108" i="59"/>
  <c r="V109" i="59"/>
  <c r="V110" i="59"/>
  <c r="V111" i="59"/>
  <c r="V112" i="59"/>
  <c r="V113" i="59"/>
  <c r="V114" i="59"/>
  <c r="V115" i="59"/>
  <c r="V116" i="59"/>
  <c r="V117" i="59"/>
  <c r="V118" i="59"/>
  <c r="V119" i="59"/>
  <c r="V120" i="59"/>
  <c r="V121" i="59"/>
  <c r="V122" i="59"/>
  <c r="V123" i="59"/>
  <c r="V124" i="59"/>
  <c r="V125" i="59"/>
  <c r="V126" i="59"/>
  <c r="V127" i="59"/>
  <c r="V128" i="59"/>
  <c r="V129" i="59"/>
  <c r="V130" i="59"/>
  <c r="V131" i="59"/>
  <c r="V132" i="59"/>
  <c r="V133" i="59"/>
  <c r="V134" i="59"/>
  <c r="V135" i="59"/>
  <c r="V136" i="59"/>
  <c r="V137" i="59"/>
  <c r="V138" i="59"/>
  <c r="V139" i="59"/>
  <c r="V140" i="59"/>
  <c r="V141" i="59"/>
  <c r="V142" i="59"/>
  <c r="V143" i="59"/>
  <c r="V144" i="59"/>
  <c r="V145" i="59"/>
  <c r="V146" i="59"/>
  <c r="V147" i="59"/>
  <c r="V148" i="59"/>
  <c r="V149" i="59"/>
  <c r="V150" i="59"/>
  <c r="V151" i="59"/>
  <c r="V152" i="59"/>
  <c r="V153" i="59"/>
  <c r="V154" i="59"/>
  <c r="V155" i="59"/>
  <c r="V156" i="59"/>
  <c r="V157" i="59"/>
  <c r="V158" i="59"/>
  <c r="V159" i="59"/>
  <c r="V160" i="59"/>
  <c r="V161" i="59"/>
  <c r="V162" i="59"/>
  <c r="V163" i="59"/>
  <c r="V164" i="59"/>
  <c r="V165" i="59"/>
  <c r="V166" i="59"/>
  <c r="V167" i="59"/>
  <c r="V168" i="59"/>
  <c r="V169" i="59"/>
  <c r="V170" i="59"/>
  <c r="V171" i="59"/>
  <c r="V172" i="59"/>
  <c r="V173" i="59"/>
  <c r="V174" i="59"/>
  <c r="V175" i="59"/>
  <c r="V176" i="59"/>
  <c r="V177" i="59"/>
  <c r="V178" i="59"/>
  <c r="V179" i="59"/>
  <c r="V180" i="59"/>
  <c r="V181" i="59"/>
  <c r="V182" i="59"/>
  <c r="V183" i="59"/>
  <c r="V184" i="59"/>
  <c r="V185" i="59"/>
  <c r="V186" i="59"/>
  <c r="V187" i="59"/>
  <c r="V188" i="59"/>
  <c r="V189" i="59"/>
  <c r="V190" i="59"/>
  <c r="V191" i="59"/>
  <c r="V192" i="59"/>
  <c r="V193" i="59"/>
  <c r="V194" i="59"/>
  <c r="V195" i="59"/>
  <c r="V196" i="59"/>
  <c r="V197" i="59"/>
  <c r="V198" i="59"/>
  <c r="V199" i="59"/>
  <c r="V200" i="59"/>
  <c r="V201" i="59"/>
  <c r="V202" i="59"/>
  <c r="V203" i="59"/>
  <c r="V204" i="59"/>
  <c r="V205" i="59"/>
  <c r="V206" i="59"/>
  <c r="V207" i="59"/>
  <c r="V208" i="59"/>
  <c r="V209" i="59"/>
  <c r="V210" i="59"/>
  <c r="V211" i="59"/>
  <c r="V212" i="59"/>
  <c r="V213" i="59"/>
  <c r="V214" i="59"/>
  <c r="V215" i="59"/>
  <c r="V216" i="59"/>
  <c r="V217" i="59"/>
  <c r="V218" i="59"/>
  <c r="V219" i="59"/>
  <c r="V220" i="59"/>
  <c r="V221" i="59"/>
  <c r="V222" i="59"/>
  <c r="V223" i="59"/>
  <c r="V224" i="59"/>
  <c r="V225" i="59"/>
  <c r="V226" i="59"/>
  <c r="V227" i="59"/>
  <c r="V228" i="59"/>
  <c r="V229" i="59"/>
  <c r="V230" i="59"/>
  <c r="V231" i="59"/>
  <c r="V232" i="59"/>
  <c r="V233" i="59"/>
  <c r="V234" i="59"/>
  <c r="V235" i="59"/>
  <c r="V236" i="59"/>
  <c r="V237" i="59"/>
  <c r="V238" i="59"/>
  <c r="V239" i="59"/>
  <c r="V240" i="59"/>
  <c r="V241" i="59"/>
  <c r="V242" i="59"/>
  <c r="V243" i="59"/>
  <c r="V244" i="59"/>
  <c r="V245" i="59"/>
  <c r="V246" i="59"/>
  <c r="V247" i="59"/>
  <c r="V248" i="59"/>
  <c r="V249" i="59"/>
  <c r="V250" i="59"/>
  <c r="V251" i="59"/>
  <c r="V252" i="59"/>
  <c r="V253" i="59"/>
  <c r="V254" i="59"/>
  <c r="V255" i="59"/>
  <c r="V256" i="59"/>
  <c r="V257" i="59"/>
  <c r="V258" i="59"/>
  <c r="V259" i="59"/>
  <c r="V260" i="59"/>
  <c r="V261" i="59"/>
  <c r="V262" i="59"/>
  <c r="V263" i="59"/>
  <c r="V264" i="59"/>
  <c r="V265" i="59"/>
  <c r="V266" i="59"/>
  <c r="V267" i="59"/>
  <c r="V268" i="59"/>
  <c r="V269" i="59"/>
  <c r="V270" i="59"/>
  <c r="V271" i="59"/>
  <c r="V272" i="59"/>
  <c r="V273" i="59"/>
  <c r="V274" i="59"/>
  <c r="V275" i="59"/>
  <c r="V276" i="59"/>
  <c r="V277" i="59"/>
  <c r="V278" i="59"/>
  <c r="V279" i="59"/>
  <c r="V280" i="59"/>
  <c r="V281" i="59"/>
  <c r="V282" i="59"/>
  <c r="V283" i="59"/>
  <c r="V284" i="59"/>
  <c r="V285" i="59"/>
  <c r="V286" i="59"/>
  <c r="V287" i="59"/>
  <c r="V288" i="59"/>
  <c r="V289" i="59"/>
  <c r="V290" i="59"/>
  <c r="V291" i="59"/>
  <c r="V292" i="59"/>
  <c r="V293" i="59"/>
  <c r="V294" i="59"/>
  <c r="V295" i="59"/>
  <c r="V296" i="59"/>
  <c r="V297" i="59"/>
  <c r="V298" i="59"/>
  <c r="V299" i="59"/>
  <c r="V300" i="59"/>
  <c r="V301" i="59"/>
  <c r="V302" i="59"/>
  <c r="V303" i="59"/>
  <c r="V304" i="59"/>
  <c r="V305" i="59"/>
  <c r="V306" i="59"/>
  <c r="V307" i="59"/>
  <c r="V308" i="59"/>
  <c r="V309" i="59"/>
  <c r="V310" i="59"/>
  <c r="V311" i="59"/>
  <c r="V312" i="59"/>
  <c r="V313" i="59"/>
  <c r="V314" i="59"/>
  <c r="V315" i="59"/>
  <c r="V316" i="59"/>
  <c r="V317" i="59"/>
  <c r="V318" i="59"/>
  <c r="V319" i="59"/>
  <c r="V320" i="59"/>
  <c r="V321" i="59"/>
  <c r="V322" i="59"/>
  <c r="V323" i="59"/>
  <c r="V324" i="59"/>
  <c r="V325" i="59"/>
  <c r="V326" i="59"/>
  <c r="V327" i="59"/>
  <c r="V328" i="59"/>
  <c r="V329" i="59"/>
  <c r="V330" i="59"/>
  <c r="V331" i="59"/>
  <c r="V332" i="59"/>
  <c r="V333" i="59"/>
  <c r="V334" i="59"/>
  <c r="V335" i="59"/>
  <c r="V336" i="59"/>
  <c r="V337" i="59"/>
  <c r="V338" i="59"/>
  <c r="V339" i="59"/>
  <c r="V340" i="59"/>
  <c r="V341" i="59"/>
  <c r="V342" i="59"/>
  <c r="V343" i="59"/>
  <c r="V344" i="59"/>
  <c r="V345" i="59"/>
  <c r="V346" i="59"/>
  <c r="V347" i="59"/>
  <c r="V348" i="59"/>
  <c r="V349" i="59"/>
  <c r="V350" i="59"/>
  <c r="V351" i="59"/>
  <c r="V352" i="59"/>
  <c r="V353" i="59"/>
  <c r="V354" i="59"/>
  <c r="V355" i="59"/>
  <c r="V356" i="59"/>
  <c r="V357" i="59"/>
  <c r="V358" i="59"/>
  <c r="V359" i="59"/>
  <c r="V360" i="59"/>
  <c r="V361" i="59"/>
  <c r="V362" i="59"/>
  <c r="V363" i="59"/>
  <c r="V364" i="59"/>
  <c r="V365" i="59"/>
  <c r="V366" i="59"/>
  <c r="V367" i="59"/>
  <c r="V368" i="59"/>
  <c r="V369" i="59"/>
  <c r="V370" i="59"/>
  <c r="V371" i="59"/>
  <c r="V372" i="59"/>
  <c r="V373" i="59"/>
  <c r="V374" i="59"/>
  <c r="V375" i="59"/>
  <c r="V376" i="59"/>
  <c r="V377" i="59"/>
  <c r="V378" i="59"/>
  <c r="V379" i="59"/>
  <c r="V380" i="59"/>
  <c r="V381" i="59"/>
  <c r="V382" i="59"/>
  <c r="V383" i="59"/>
  <c r="V384" i="59"/>
  <c r="V385" i="59"/>
  <c r="V386" i="59"/>
  <c r="V387" i="59"/>
  <c r="V388" i="59"/>
  <c r="V389" i="59"/>
  <c r="V390" i="59"/>
  <c r="V391" i="59"/>
  <c r="V392" i="59"/>
  <c r="V393" i="59"/>
  <c r="V394" i="59"/>
  <c r="V395" i="59"/>
  <c r="V396" i="59"/>
  <c r="V397" i="59"/>
  <c r="V398" i="59"/>
  <c r="V399" i="59"/>
  <c r="V400" i="59"/>
  <c r="V401" i="59"/>
  <c r="V402" i="59"/>
  <c r="V403" i="59"/>
  <c r="V404" i="59"/>
  <c r="V405" i="59"/>
  <c r="V406" i="59"/>
  <c r="V407" i="59"/>
  <c r="V408" i="59"/>
  <c r="V409" i="59"/>
  <c r="V410" i="59"/>
  <c r="V411" i="59"/>
  <c r="V412" i="59"/>
  <c r="V413" i="59"/>
  <c r="V414" i="59"/>
  <c r="V415" i="59"/>
  <c r="V416" i="59"/>
  <c r="V417" i="59"/>
  <c r="V418" i="59"/>
  <c r="V419" i="59"/>
  <c r="V420" i="59"/>
  <c r="V421" i="59"/>
  <c r="V422" i="59"/>
  <c r="V423" i="59"/>
  <c r="V424" i="59"/>
  <c r="V425" i="59"/>
  <c r="V426" i="59"/>
  <c r="V427" i="59"/>
  <c r="V428" i="59"/>
  <c r="V429" i="59"/>
  <c r="V430" i="59"/>
  <c r="V431" i="59"/>
  <c r="V432" i="59"/>
  <c r="V433" i="59"/>
  <c r="V434" i="59"/>
  <c r="V435" i="59"/>
  <c r="V436" i="59"/>
  <c r="V437" i="59"/>
  <c r="V438" i="59"/>
  <c r="V439" i="59"/>
  <c r="V440" i="59"/>
  <c r="V441" i="59"/>
  <c r="V442" i="59"/>
  <c r="V443" i="59"/>
  <c r="V444" i="59"/>
  <c r="V445" i="59"/>
  <c r="V446" i="59"/>
  <c r="V447" i="59"/>
  <c r="V448" i="59"/>
  <c r="V449" i="59"/>
  <c r="V450" i="59"/>
  <c r="V451" i="59"/>
  <c r="V452" i="59"/>
  <c r="V453" i="59"/>
  <c r="V454" i="59"/>
  <c r="V455" i="59"/>
  <c r="V456" i="59"/>
  <c r="V457" i="59"/>
  <c r="V458" i="59"/>
  <c r="V459" i="59"/>
  <c r="V460" i="59"/>
  <c r="V461" i="59"/>
  <c r="V462" i="59"/>
  <c r="V463" i="59"/>
  <c r="V4" i="59"/>
</calcChain>
</file>

<file path=xl/sharedStrings.xml><?xml version="1.0" encoding="utf-8"?>
<sst xmlns="http://schemas.openxmlformats.org/spreadsheetml/2006/main" count="6681" uniqueCount="422">
  <si>
    <t>Estado</t>
  </si>
  <si>
    <t>Especialidad</t>
  </si>
  <si>
    <t>Contacto</t>
  </si>
  <si>
    <t>Color</t>
  </si>
  <si>
    <t>Talla</t>
  </si>
  <si>
    <t>Dificultad</t>
  </si>
  <si>
    <t>Fecha</t>
  </si>
  <si>
    <t>Observaciones</t>
  </si>
  <si>
    <t>Tipo</t>
  </si>
  <si>
    <t>VERDADERO</t>
  </si>
  <si>
    <t>Mostrar advertencias de capacidad</t>
  </si>
  <si>
    <t>Booleano</t>
  </si>
  <si>
    <t>Redondeo de tiempo</t>
  </si>
  <si>
    <t>Horas legales por semana</t>
  </si>
  <si>
    <t>jueves</t>
  </si>
  <si>
    <t>sábado</t>
  </si>
  <si>
    <t>domingo</t>
  </si>
  <si>
    <t>Domingo</t>
  </si>
  <si>
    <t>lunes</t>
  </si>
  <si>
    <t>Reyes Magos</t>
  </si>
  <si>
    <t>viernes</t>
  </si>
  <si>
    <t>Viernes Santo</t>
  </si>
  <si>
    <t>Corpus Christi</t>
  </si>
  <si>
    <t>San Pedro y San Pablo</t>
  </si>
  <si>
    <t>Todos los Santos</t>
  </si>
  <si>
    <t>martes</t>
  </si>
  <si>
    <t>Navidad</t>
  </si>
  <si>
    <t>OP001</t>
  </si>
  <si>
    <t>Activa</t>
  </si>
  <si>
    <t>OP002</t>
  </si>
  <si>
    <t>OP003</t>
  </si>
  <si>
    <t>Referencia</t>
  </si>
  <si>
    <t>Tarea</t>
  </si>
  <si>
    <t>Lote</t>
  </si>
  <si>
    <t>Cantidad</t>
  </si>
  <si>
    <t>Tiempo en minutos diarios base para operarias nuevas</t>
  </si>
  <si>
    <t>luz stella Castellanos</t>
  </si>
  <si>
    <t>filete y collarin</t>
  </si>
  <si>
    <t>katerine</t>
  </si>
  <si>
    <t>maquina plana</t>
  </si>
  <si>
    <t>yadira</t>
  </si>
  <si>
    <t>collarin y plana</t>
  </si>
  <si>
    <t xml:space="preserve">unir por hombros </t>
  </si>
  <si>
    <t xml:space="preserve">pegar mangas </t>
  </si>
  <si>
    <t>OP004</t>
  </si>
  <si>
    <t>Neyla</t>
  </si>
  <si>
    <t>filete</t>
  </si>
  <si>
    <t>pisar sesgo espalda</t>
  </si>
  <si>
    <t>M</t>
  </si>
  <si>
    <t>L</t>
  </si>
  <si>
    <t>XL</t>
  </si>
  <si>
    <t>S</t>
  </si>
  <si>
    <t>Pendiente</t>
  </si>
  <si>
    <t>PROYECTO 49613</t>
  </si>
  <si>
    <t>CAMISETA T-SHIRT</t>
  </si>
  <si>
    <t>NEGRO</t>
  </si>
  <si>
    <t>BLANCO</t>
  </si>
  <si>
    <t>Pegar marquilla a cogotera</t>
  </si>
  <si>
    <t>pegar marquilla a cogotera</t>
  </si>
  <si>
    <t>Media</t>
  </si>
  <si>
    <t>pegar cogotera embonada</t>
  </si>
  <si>
    <t>se pega doblando hacia adentro</t>
  </si>
  <si>
    <t>se une dos lados en la fileteadora</t>
  </si>
  <si>
    <t>poca</t>
  </si>
  <si>
    <t>se pegan mangas en la fileteadora ubicando manga delantera y espalda</t>
  </si>
  <si>
    <t>cerrar por costados</t>
  </si>
  <si>
    <t>cerrar costado colocando bandera y cinta interna</t>
  </si>
  <si>
    <t>cerrar banda de cuello</t>
  </si>
  <si>
    <t>cerrar banda con puntada corta</t>
  </si>
  <si>
    <t>montar cuello en el escote</t>
  </si>
  <si>
    <t>montar cuello marcando en 4 partes</t>
  </si>
  <si>
    <t>colocar tapa costura parte espalda del escote( sesgo)</t>
  </si>
  <si>
    <t>sesgar marcando hasta donde llega sesgo</t>
  </si>
  <si>
    <t>pisar sesgo escote parte espalda</t>
  </si>
  <si>
    <t>pisar parte delantera del escote</t>
  </si>
  <si>
    <t>pisar parte delantera</t>
  </si>
  <si>
    <t>hacer dobladillos en collarin mangas y ruedo</t>
  </si>
  <si>
    <t>hacer dobladillos y resfilar si lo requiere</t>
  </si>
  <si>
    <t>pegar marquilla sobre el dobladillo</t>
  </si>
  <si>
    <t>pegar marquilla sobre el dobladilllo</t>
  </si>
  <si>
    <t xml:space="preserve">S </t>
  </si>
  <si>
    <t xml:space="preserve"> M</t>
  </si>
  <si>
    <t xml:space="preserve"> L</t>
  </si>
  <si>
    <t>Operaria</t>
  </si>
  <si>
    <t>Eficiencia</t>
  </si>
  <si>
    <t>Completada</t>
  </si>
  <si>
    <t xml:space="preserve"> (Parte 1)</t>
  </si>
  <si>
    <t>PROYECTO 49613 001 BLANCO S</t>
  </si>
  <si>
    <t>PROYECTO 49613 002 BLANCO M</t>
  </si>
  <si>
    <t>PROYECTO 49613 003 BLANCO L</t>
  </si>
  <si>
    <t>PROYECTO 49613 004 BLANCO XL</t>
  </si>
  <si>
    <t>PROYECTO 49613 002 NEGRO M</t>
  </si>
  <si>
    <t>PROYECTO 49613 003 NEGRO L</t>
  </si>
  <si>
    <t>PROYECTO 49613 004 NEGRO XL</t>
  </si>
  <si>
    <t>PROYECTO 49613 001 NEGRO S</t>
  </si>
  <si>
    <t>FALTA PRACTICA PARA DESARROLAR LA OPERACION (Parte 1)</t>
  </si>
  <si>
    <t>Descripcion</t>
  </si>
  <si>
    <t>Parametro</t>
  </si>
  <si>
    <t>Min. Asignados</t>
  </si>
  <si>
    <t>Min. Producidos Est.</t>
  </si>
  <si>
    <t>Desviacion min</t>
  </si>
  <si>
    <t>Capacidad min</t>
  </si>
  <si>
    <t>Asignado min</t>
  </si>
  <si>
    <t>Disponible min</t>
  </si>
  <si>
    <t>TiempoDisponibleBaseMinutos</t>
  </si>
  <si>
    <t>Numero</t>
  </si>
  <si>
    <t>HabilitarAdvertencias</t>
  </si>
  <si>
    <t>RedondeoTiempo</t>
  </si>
  <si>
    <t>HorasSemanalesLegales</t>
  </si>
  <si>
    <t>DiasLaboralesSemana</t>
  </si>
  <si>
    <t>Dias laborales por semana</t>
  </si>
  <si>
    <t>DISPONIBLE</t>
  </si>
  <si>
    <t>Ocupacion %</t>
  </si>
  <si>
    <t>Ops. Requeridas</t>
  </si>
  <si>
    <t>Ops. Completadas</t>
  </si>
  <si>
    <t>Avance %</t>
  </si>
  <si>
    <t>Tiempo Est. Horas</t>
  </si>
  <si>
    <t>EN PROCESO</t>
  </si>
  <si>
    <t>PENDIENTE</t>
  </si>
  <si>
    <t>completada</t>
  </si>
  <si>
    <t>bliusa victoria</t>
  </si>
  <si>
    <t>Blusa Anser</t>
  </si>
  <si>
    <t>OP005</t>
  </si>
  <si>
    <t xml:space="preserve"> plana y filete</t>
  </si>
  <si>
    <t>OP006</t>
  </si>
  <si>
    <t>Andrea Julieth Hernandez</t>
  </si>
  <si>
    <t>FILETE Y PLANA</t>
  </si>
  <si>
    <t>Pegar marquilla a cogotrea recuadrando corte</t>
  </si>
  <si>
    <t>pegar en plana marquilla a cogotera</t>
  </si>
  <si>
    <t>pegar cogotera a espalda</t>
  </si>
  <si>
    <t xml:space="preserve">pegar cogotera a espalda </t>
  </si>
  <si>
    <t>Unir ´por hombros</t>
  </si>
  <si>
    <t>unir por hombros</t>
  </si>
  <si>
    <t>cerrar banda ( cuello)</t>
  </si>
  <si>
    <t xml:space="preserve">cerrar banda </t>
  </si>
  <si>
    <t>pegar  banda en escote</t>
  </si>
  <si>
    <t>pegar banda a cuello</t>
  </si>
  <si>
    <t>Cerrar por costados colocando instrucciones de lavado</t>
  </si>
  <si>
    <t>cerrar costados</t>
  </si>
  <si>
    <t>cerrar puños en anillo por 2</t>
  </si>
  <si>
    <t>cerrar puños</t>
  </si>
  <si>
    <t>pegar puños en anillo por 2</t>
  </si>
  <si>
    <t>pegar puños por 2</t>
  </si>
  <si>
    <t>pisar contorno de cuello en collarin</t>
  </si>
  <si>
    <t>pisar contorno de cuello</t>
  </si>
  <si>
    <t>pisar contorno de puños por 2</t>
  </si>
  <si>
    <t>pisar puños por 2</t>
  </si>
  <si>
    <t>hacer dobladillo en ruedo</t>
  </si>
  <si>
    <t>hacer dobladillo de ruedo</t>
  </si>
  <si>
    <t>pegar marquilla sobre dobladillo</t>
  </si>
  <si>
    <t>ID Referencia</t>
  </si>
  <si>
    <t>Nombre Referencia</t>
  </si>
  <si>
    <t>XS</t>
  </si>
  <si>
    <t xml:space="preserve"> NEGRO</t>
  </si>
  <si>
    <t xml:space="preserve"> BLANCO  </t>
  </si>
  <si>
    <t>01 TXS NEGRO</t>
  </si>
  <si>
    <t>Nombre Tarea</t>
  </si>
  <si>
    <t>Tiempo Unit seg</t>
  </si>
  <si>
    <t>Total Unidades Req.</t>
  </si>
  <si>
    <t>Unidades Asignadas</t>
  </si>
  <si>
    <t>Unidades Pendientes</t>
  </si>
  <si>
    <t>Tiempo Pendiente min</t>
  </si>
  <si>
    <t>Estado Asignacion</t>
  </si>
  <si>
    <t>ID_Operaria</t>
  </si>
  <si>
    <t>Nombre_Operaria</t>
  </si>
  <si>
    <t>ID_Referencia</t>
  </si>
  <si>
    <t>Nombre_Referencia</t>
  </si>
  <si>
    <t>ID_Lote</t>
  </si>
  <si>
    <t>Cantidad_Recibida</t>
  </si>
  <si>
    <t>Fecha_Recepcion</t>
  </si>
  <si>
    <t>Fecha_Inicio_Produccion</t>
  </si>
  <si>
    <t>Unidades_Completadas</t>
  </si>
  <si>
    <t>Porcentaje_Avance</t>
  </si>
  <si>
    <t>Fecha_Fin_Estimada</t>
  </si>
  <si>
    <t>Numero_Tarea</t>
  </si>
  <si>
    <t>Nombre_Tarea</t>
  </si>
  <si>
    <t>Tiempo_Segundos</t>
  </si>
  <si>
    <t>Descripcion_Tarea</t>
  </si>
  <si>
    <t>Talla_Asignada</t>
  </si>
  <si>
    <t>Cantidad_Unidades_Asignadas</t>
  </si>
  <si>
    <t>Tiempo_Unitario_Segundos</t>
  </si>
  <si>
    <t>Tiempo_Total_Asignado_Segundos</t>
  </si>
  <si>
    <t>Tiempo_Total_Asignado_Minutos</t>
  </si>
  <si>
    <t>Estado_Asignacion</t>
  </si>
  <si>
    <t>Unidades_Completadas_Hoy</t>
  </si>
  <si>
    <t>Tiempo_Libre_Operaria_Minutos</t>
  </si>
  <si>
    <t>Fecha_Entrega_Real</t>
  </si>
  <si>
    <t>Tiempo_Real_Minutos</t>
  </si>
  <si>
    <t>Desviacion_Minutos</t>
  </si>
  <si>
    <t>Dia_Semana</t>
  </si>
  <si>
    <t>Valor_Actual</t>
  </si>
  <si>
    <t>Ano Nuevo</t>
  </si>
  <si>
    <t>Sabado</t>
  </si>
  <si>
    <t>San Jose</t>
  </si>
  <si>
    <t>Jueves Santo</t>
  </si>
  <si>
    <t>Dia del Trabajo</t>
  </si>
  <si>
    <t>Ascension del Senor</t>
  </si>
  <si>
    <t>Sagrado Corazon de Jesus</t>
  </si>
  <si>
    <t>Independencia de Colombia</t>
  </si>
  <si>
    <t>Batalla de Boyaca</t>
  </si>
  <si>
    <t>Asuncion de la Virgen</t>
  </si>
  <si>
    <t>Dia de la Raza</t>
  </si>
  <si>
    <t>Independencia de Cartagena</t>
  </si>
  <si>
    <t>Inmaculada Concepcion</t>
  </si>
  <si>
    <t>Tareas/Unidad</t>
  </si>
  <si>
    <t>02 TS NEGRO</t>
  </si>
  <si>
    <t>03 TM NEGRO</t>
  </si>
  <si>
    <t>04 TL NEGRO</t>
  </si>
  <si>
    <t>05 TXS AR</t>
  </si>
  <si>
    <t>06 TS AR</t>
  </si>
  <si>
    <t>07 TM AR</t>
  </si>
  <si>
    <t>08 TL AR</t>
  </si>
  <si>
    <t>luz dary</t>
  </si>
  <si>
    <t>recubrir cogotera</t>
  </si>
  <si>
    <t>OP007</t>
  </si>
  <si>
    <t>Enith yurley</t>
  </si>
  <si>
    <t>filete y plana</t>
  </si>
  <si>
    <t>PROYECTO 51495</t>
  </si>
  <si>
    <t>GER T-SHIRT</t>
  </si>
  <si>
    <t>CAMISETA RIB OVERSIZE</t>
  </si>
  <si>
    <t>pegar cogotera</t>
  </si>
  <si>
    <t>recubrir cogotera en collarin</t>
  </si>
  <si>
    <t>cerrar banda (cuello)</t>
  </si>
  <si>
    <t>pegar mangas por 2</t>
  </si>
  <si>
    <t>pegar mangas en filete</t>
  </si>
  <si>
    <t>cerrar costados por 2 metiendo cinta interna</t>
  </si>
  <si>
    <t>pegar cuello en plana por dificultad</t>
  </si>
  <si>
    <t xml:space="preserve">pegar cuello en plana </t>
  </si>
  <si>
    <t>filetear cuello</t>
  </si>
  <si>
    <t>pasar filete al contorno del cuello</t>
  </si>
  <si>
    <t>pisar contorno de cuello a 1/16</t>
  </si>
  <si>
    <t xml:space="preserve">pisar contorno de cuello </t>
  </si>
  <si>
    <t>hacer dobladillo de mangas y ruedo</t>
  </si>
  <si>
    <t>pegar  marquilla bandera sobre el dobladillo</t>
  </si>
  <si>
    <t>01 TS NGR</t>
  </si>
  <si>
    <t>15/03/2026</t>
  </si>
  <si>
    <t>02 TM NGR</t>
  </si>
  <si>
    <t>03 TL NGR</t>
  </si>
  <si>
    <t>04 TXL NGR</t>
  </si>
  <si>
    <t>Inactiva</t>
  </si>
  <si>
    <t>Minutos_Diarios</t>
  </si>
  <si>
    <t>Color_Base</t>
  </si>
  <si>
    <t>Tiempo_Total_Seg</t>
  </si>
  <si>
    <t>Fecha_Finalizacion</t>
  </si>
  <si>
    <t>Total_Unidades_Producidas</t>
  </si>
  <si>
    <t>Dias_Produccion</t>
  </si>
  <si>
    <t>Operarias_Involucradas</t>
  </si>
  <si>
    <t>SISTEMA STELLA - GESTIÓN DE PRODUCCIÓN TEXTIL</t>
  </si>
  <si>
    <t>Búsqueda Rápida de Referencia:</t>
  </si>
  <si>
    <t>MANUAL DE USO - SISTEMA STELLA</t>
  </si>
  <si>
    <t>1. INICIO DEL DÍA</t>
  </si>
  <si>
    <t>Haga clic en RECARGAR CACHÉ al abrir el archivo para asegurar datos frescos.</t>
  </si>
  <si>
    <t>2. ASIGNACIONES</t>
  </si>
  <si>
    <t>Use el botón NUEVA ASIGNACIÓN para distribuir tareas a las operarias.</t>
  </si>
  <si>
    <t>ELEGIR LOTE:</t>
  </si>
  <si>
    <t>EN CURSO</t>
  </si>
  <si>
    <t>COMPLETO</t>
  </si>
  <si>
    <t>pegar mangas</t>
  </si>
  <si>
    <t>Sin Lotes</t>
  </si>
  <si>
    <t>TODAS</t>
  </si>
  <si>
    <t>Varios</t>
  </si>
  <si>
    <t>camiseta t-shirt</t>
  </si>
  <si>
    <t>recuperacion</t>
  </si>
  <si>
    <t>001t S</t>
  </si>
  <si>
    <t>arena</t>
  </si>
  <si>
    <t>24/03/2026</t>
  </si>
  <si>
    <t>pegar banda a escote</t>
  </si>
  <si>
    <t>cerrar costados colocando cinta interna</t>
  </si>
  <si>
    <t>colocar hiladillo escote espalda</t>
  </si>
  <si>
    <t>colocar hiladillo parte espalda</t>
  </si>
  <si>
    <t>pisar escote parte delantera</t>
  </si>
  <si>
    <t>hacer dobladillo mangas y ruedo</t>
  </si>
  <si>
    <t>BLUSA CLONEY</t>
  </si>
  <si>
    <t>BLUSA DAMA CON RECUBRIDOR</t>
  </si>
  <si>
    <t>ARENA</t>
  </si>
  <si>
    <t>ROJO</t>
  </si>
  <si>
    <t>01XS</t>
  </si>
  <si>
    <t>02TS</t>
  </si>
  <si>
    <t>03TM</t>
  </si>
  <si>
    <t>04TL</t>
  </si>
  <si>
    <t>Pegar mangas parte delantera(2)</t>
  </si>
  <si>
    <t>pegar manga rangla parte delantera</t>
  </si>
  <si>
    <t>pegar manga parte espalda</t>
  </si>
  <si>
    <t>pegar manga rangla parte espalda</t>
  </si>
  <si>
    <t>recubrir delantero por mangas</t>
  </si>
  <si>
    <t>recubrir parte delantera por mangas</t>
  </si>
  <si>
    <t>recubrir espalda por mangas(2)</t>
  </si>
  <si>
    <t>recubrir espalda por mangas</t>
  </si>
  <si>
    <t>Pegar cuello a escote</t>
  </si>
  <si>
    <t>pegar cuello a escote</t>
  </si>
  <si>
    <t>cerrar costados colocando banderita y cinta interna</t>
  </si>
  <si>
    <t>recubrir costado con dificultad en union de manga</t>
  </si>
  <si>
    <t>recubrir costados</t>
  </si>
  <si>
    <t>hacer dobladillo en mangas y ruedo</t>
  </si>
  <si>
    <t>hacer dobladillos mangas y ruedo</t>
  </si>
  <si>
    <t>rematar marquilla de trapecio en escote espalda</t>
  </si>
  <si>
    <t>rematar marquilla de trapecio escote espalda</t>
  </si>
  <si>
    <t>REF49396</t>
  </si>
  <si>
    <t>PROYECTO 51773</t>
  </si>
  <si>
    <t>CAMISETA FLORIAN</t>
  </si>
  <si>
    <t>Camiseta t-shirt extraoversize estampada</t>
  </si>
  <si>
    <t>CAFE</t>
  </si>
  <si>
    <t>01TSCFE</t>
  </si>
  <si>
    <t>30/03/2026</t>
  </si>
  <si>
    <t>02TMCF</t>
  </si>
  <si>
    <t>03TLCF</t>
  </si>
  <si>
    <t>04TXLCF</t>
  </si>
  <si>
    <t>05TSN</t>
  </si>
  <si>
    <t>06TMN</t>
  </si>
  <si>
    <t>07TLN</t>
  </si>
  <si>
    <t>08TXLN</t>
  </si>
  <si>
    <t>Pegar cogotera a espalda</t>
  </si>
  <si>
    <t>Unir por hombros</t>
  </si>
  <si>
    <t xml:space="preserve">Pegar mangas </t>
  </si>
  <si>
    <t>Pegar mangas</t>
  </si>
  <si>
    <t>Cerrar banda de cuello</t>
  </si>
  <si>
    <t>Pegar banda en escote</t>
  </si>
  <si>
    <t>Colocar tapacostura espalda(hiladillo)</t>
  </si>
  <si>
    <t>colocar tapacostura parte de espalda cuello(hiladillo)</t>
  </si>
  <si>
    <t>pisar tapacostura escote espalda</t>
  </si>
  <si>
    <t>pisar escote delantero</t>
  </si>
  <si>
    <t>Cerrar costados colocando cinta interna</t>
  </si>
  <si>
    <t>hacer dobladillos  en mangas y ruedo</t>
  </si>
  <si>
    <t>Hacer dobladillos en mangas y ruedo</t>
  </si>
  <si>
    <t>Pegar marquilla sobre el dobladillo</t>
  </si>
  <si>
    <t>Pegar marquilla sobre dobladillo</t>
  </si>
  <si>
    <t>PROYECTO 51575</t>
  </si>
  <si>
    <t>recubridor a cogotera</t>
  </si>
  <si>
    <t>hacer recubridor a cogotera</t>
  </si>
  <si>
    <t>PROYECTO 49967</t>
  </si>
  <si>
    <t>CAMISETA BORTON</t>
  </si>
  <si>
    <t>CAMISETA T-SHIRT CUELLO TEJIDO</t>
  </si>
  <si>
    <t>BLANCO HUESO</t>
  </si>
  <si>
    <t>OP008</t>
  </si>
  <si>
    <t>LILIANA FERNANDA</t>
  </si>
  <si>
    <t>FILETEY COLLARIN</t>
  </si>
  <si>
    <t>cerrar por costado colocando cinta interna</t>
  </si>
  <si>
    <t>cerrar por costados colocando cinta interna</t>
  </si>
  <si>
    <t>recuadrar cuellos al tamaño de la plantilla</t>
  </si>
  <si>
    <t>recortar cuellos al tamaño pedido</t>
  </si>
  <si>
    <t>cerrar cuello por 2 lados</t>
  </si>
  <si>
    <t>cerrar cuellos por 2 lados</t>
  </si>
  <si>
    <t>montar cuello a escote de camiseta</t>
  </si>
  <si>
    <t>montar cuello en plana</t>
  </si>
  <si>
    <t>filetear cuello sobre la costura de plana</t>
  </si>
  <si>
    <t>colocar hiladillo parte trasera de escote</t>
  </si>
  <si>
    <t>pisar hiladillo parte espalda</t>
  </si>
  <si>
    <t>pisar hiladillo parte de la esapalda</t>
  </si>
  <si>
    <t>pisar parte delantera a 3mm</t>
  </si>
  <si>
    <t>pisar parte delantera a 3 mm</t>
  </si>
  <si>
    <t>remaatar marqquilla sobre hiladillo</t>
  </si>
  <si>
    <t>rematar marquilla sobre hiladillo</t>
  </si>
  <si>
    <t>01ts</t>
  </si>
  <si>
    <t>02tm</t>
  </si>
  <si>
    <t>03tl</t>
  </si>
  <si>
    <t>04txl</t>
  </si>
  <si>
    <t xml:space="preserve"> (P.1)</t>
  </si>
  <si>
    <t>PROYECTO 51501</t>
  </si>
  <si>
    <t>LION T-SHIRT CAMISETA</t>
  </si>
  <si>
    <t>CAMISETA T-SHIRT UNICOLOR</t>
  </si>
  <si>
    <t>cerrar costados metiendo cinta interna</t>
  </si>
  <si>
    <t>cerrar cuellos</t>
  </si>
  <si>
    <t>pegar banda de cuello a escote</t>
  </si>
  <si>
    <t>pegar banda a contorno de cuello</t>
  </si>
  <si>
    <t>colocar tapa costura parte espalda de escote(sesgo)</t>
  </si>
  <si>
    <t>colocar sesgo para tapa costura</t>
  </si>
  <si>
    <t>pisar sesgo de tapacostura espalda de escote</t>
  </si>
  <si>
    <t>pisar sesgo de tapacostura espalda de cuello</t>
  </si>
  <si>
    <t>hacer dobladillos de mangas y ruedo</t>
  </si>
  <si>
    <t>rematar marquilla sobre dobladillo</t>
  </si>
  <si>
    <t>01TS</t>
  </si>
  <si>
    <t>02TM</t>
  </si>
  <si>
    <t>03TL</t>
  </si>
  <si>
    <t>04TXL</t>
  </si>
  <si>
    <t>INFORME DETALLADO DE PRODUCCIÓN</t>
  </si>
  <si>
    <t>abril 11 de 2026</t>
  </si>
  <si>
    <t xml:space="preserve">Descripción: </t>
  </si>
  <si>
    <t>Cantidad Recibida: 241</t>
  </si>
  <si>
    <t>¦¦¦¦¦¦¦</t>
  </si>
  <si>
    <t>Descripción: Blusa Anser</t>
  </si>
  <si>
    <t>Cantidad Recibida: 454</t>
  </si>
  <si>
    <t>Descripción: CAMISETA RIB OVERSIZE</t>
  </si>
  <si>
    <t>Cantidad Recibida: 518</t>
  </si>
  <si>
    <t>¦¦¦¦¦¦¦¦¦¦</t>
  </si>
  <si>
    <t>Descripción: recuperacion</t>
  </si>
  <si>
    <t>Cantidad Recibida: 47</t>
  </si>
  <si>
    <t>Descripción: BLUSA DAMA CON RECUBRIDOR</t>
  </si>
  <si>
    <t>Cantidad Recibida: 289</t>
  </si>
  <si>
    <t>¦¦¦¦¦¦¦¦¦</t>
  </si>
  <si>
    <t>Descripción: Camiseta t-shirt extraoversize estampada</t>
  </si>
  <si>
    <t>Cantidad Recibida: 120</t>
  </si>
  <si>
    <t>Descripción: CAMISETA T-SHIRT CUELLO TEJIDO</t>
  </si>
  <si>
    <t>Cantidad Recibida: 234</t>
  </si>
  <si>
    <t>Descripción: CAMISETA T-SHIRT UNICOLOR</t>
  </si>
  <si>
    <t>Cantidad Recibida: 279</t>
  </si>
  <si>
    <t>En Proceso</t>
  </si>
  <si>
    <t>¦¦¦</t>
  </si>
  <si>
    <t>Luz Stella Castellanos</t>
  </si>
  <si>
    <t>Katerine Chiquinquira</t>
  </si>
  <si>
    <t>Yadira</t>
  </si>
  <si>
    <t xml:space="preserve"> Luz Dary</t>
  </si>
  <si>
    <t>Enith Yurley</t>
  </si>
  <si>
    <t>Liliana Fernanda</t>
  </si>
  <si>
    <t>PROYECTO 49394</t>
  </si>
  <si>
    <t>PROYECTO 45318</t>
  </si>
  <si>
    <t>LION T-SHIRT CAMISETA UNICOLOR</t>
  </si>
  <si>
    <t>Unidades terminadas: 186,6</t>
  </si>
  <si>
    <t>Unidades terminadas: 518,0</t>
  </si>
  <si>
    <t>Unidades terminadas: 47,0</t>
  </si>
  <si>
    <t>Unidades terminadas: 277,5</t>
  </si>
  <si>
    <t>Unidades terminadas: 119,7</t>
  </si>
  <si>
    <t>Unidades terminadas: 234,0</t>
  </si>
  <si>
    <t>Unidades terminadas: 110,0</t>
  </si>
  <si>
    <t>Avance: 77,42%</t>
  </si>
  <si>
    <t>Avance: 100,00%</t>
  </si>
  <si>
    <t>Avance: 96,00%</t>
  </si>
  <si>
    <t>Avance: 99,74%</t>
  </si>
  <si>
    <t>Avance: 39,43%</t>
  </si>
  <si>
    <t>Luz Dary</t>
  </si>
  <si>
    <t>Avance: 79,09%</t>
  </si>
  <si>
    <t>Unidades terminadas: 359,1</t>
  </si>
  <si>
    <t>Pendientes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</si>
</sst>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323232"/>
      <name val="Calibri"/>
      <family val="2"/>
      <scheme val="minor"/>
    </font>
    <font>
      <sz val="8"/>
      <name val="Calibri"/>
      <family val="2"/>
      <scheme val="minor"/>
    </font>
    <font>
      <sz val="11"/>
      <color rgb="FFFF8C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96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AC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3" borderId="0" xfId="0" applyFill="1"/>
    <xf numFmtId="14" fontId="0" fillId="0" borderId="0" xfId="0" applyNumberFormat="1"/>
    <xf numFmtId="164" fontId="0" fillId="0" borderId="0" xfId="0" applyNumberFormat="1"/>
    <xf numFmtId="0" fontId="0" fillId="5" borderId="0" xfId="0" applyFill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3" fontId="0" fillId="0" borderId="0" xfId="0" applyNumberFormat="1"/>
    <xf numFmtId="0" fontId="0" fillId="3" borderId="0" xfId="0" applyFill="1" applyAlignment="1">
      <alignment horizontal="center"/>
    </xf>
    <xf numFmtId="9" fontId="0" fillId="0" borderId="0" xfId="0" applyNumberFormat="1"/>
    <xf numFmtId="0" fontId="4" fillId="0" borderId="0" xfId="0" applyFont="1"/>
    <xf numFmtId="0" fontId="1" fillId="0" borderId="0" xfId="0" applyFont="1"/>
    <xf numFmtId="3" fontId="1" fillId="2" borderId="1" xfId="0" applyNumberFormat="1" applyFont="1" applyFill="1" applyBorder="1" applyAlignment="1">
      <alignment horizontal="center"/>
    </xf>
    <xf numFmtId="0" fontId="6" fillId="0" borderId="0" xfId="0" applyFont="1"/>
    <xf numFmtId="0" fontId="2" fillId="0" borderId="0" xfId="0" applyFont="1"/>
    <xf numFmtId="0" fontId="7" fillId="4" borderId="0" xfId="0" applyFont="1" applyFill="1"/>
    <xf numFmtId="9" fontId="5" fillId="0" borderId="0" xfId="0" applyNumberFormat="1" applyFont="1"/>
    <xf numFmtId="9" fontId="8" fillId="0" borderId="0" xfId="0" applyNumberFormat="1" applyFont="1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wrapText="1"/>
    </xf>
    <xf numFmtId="14" fontId="0" fillId="0" borderId="0" xfId="0" applyNumberFormat="1" applyAlignment="1">
      <alignment wrapText="1"/>
    </xf>
    <xf numFmtId="19" fontId="0" fillId="0" borderId="0" xfId="0" applyNumberFormat="1"/>
    <xf numFmtId="0" fontId="0" fillId="0" borderId="0" xfId="0" applyFill="1"/>
    <xf numFmtId="0" fontId="0" fillId="0" borderId="0" xfId="0" applyAlignment="1"/>
    <xf numFmtId="0" fontId="0" fillId="0" borderId="0" xfId="0" applyFill="1" applyAlignment="1"/>
    <xf numFmtId="9" fontId="0" fillId="0" borderId="0" xfId="0" applyNumberFormat="1" applyFill="1" applyAlignment="1"/>
    <xf numFmtId="0" fontId="0" fillId="6" borderId="0" xfId="0" applyFill="1" applyAlignment="1"/>
    <xf numFmtId="0" fontId="9" fillId="0" borderId="0" xfId="0" applyFont="1" applyFill="1"/>
    <xf numFmtId="0" fontId="10" fillId="0" borderId="0" xfId="0" applyFont="1" applyFill="1"/>
    <xf numFmtId="0" fontId="1" fillId="0" borderId="0" xfId="0" applyFont="1" applyFill="1"/>
    <xf numFmtId="0" fontId="11" fillId="0" borderId="0" xfId="0" applyFont="1" applyFill="1"/>
    <xf numFmtId="14" fontId="0" fillId="5" borderId="0" xfId="0" applyNumberFormat="1" applyFill="1" applyAlignment="1"/>
    <xf numFmtId="14" fontId="0" fillId="3" borderId="0" xfId="0" applyNumberFormat="1" applyFill="1" applyAlignment="1"/>
    <xf numFmtId="0" fontId="0" fillId="5" borderId="0" xfId="0" applyFill="1" applyAlignment="1"/>
    <xf numFmtId="0" fontId="0" fillId="3" borderId="0" xfId="0" applyFill="1" applyAlignment="1"/>
    <xf numFmtId="3" fontId="0" fillId="0" borderId="0" xfId="0" applyNumberFormat="1" applyAlignment="1"/>
    <xf numFmtId="3" fontId="0" fillId="5" borderId="0" xfId="0" applyNumberFormat="1" applyFill="1" applyAlignment="1"/>
    <xf numFmtId="3" fontId="0" fillId="3" borderId="0" xfId="0" applyNumberFormat="1" applyFill="1" applyAlignment="1"/>
    <xf numFmtId="0" fontId="0" fillId="0" borderId="0" xfId="0" applyFont="1"/>
    <xf numFmtId="0" fontId="0" fillId="7" borderId="0" xfId="0" applyFill="1" applyAlignment="1">
      <alignment horizontal="center"/>
    </xf>
    <xf numFmtId="0" fontId="0" fillId="7" borderId="0" xfId="0" applyFill="1" applyAlignment="1"/>
    <xf numFmtId="0" fontId="0" fillId="7" borderId="0" xfId="0" applyFill="1"/>
    <xf numFmtId="0" fontId="0" fillId="3" borderId="0" xfId="0" applyFill="1" applyAlignment="1">
      <alignment wrapText="1"/>
    </xf>
    <xf numFmtId="0" fontId="0" fillId="5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F9CBC55-3664-49F6-961A-4AA3BB24C2F7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5</xdr:col>
          <xdr:colOff>95250</xdr:colOff>
          <xdr:row>12</xdr:row>
          <xdr:rowOff>304800</xdr:rowOff>
        </xdr:to>
        <xdr:sp macro="" textlink="">
          <xdr:nvSpPr>
            <xdr:cNvPr id="24579" name="cboSearchRef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63500</xdr:colOff>
      <xdr:row>4</xdr:row>
      <xdr:rowOff>25400</xdr:rowOff>
    </xdr:from>
    <xdr:to>
      <xdr:col>2</xdr:col>
      <xdr:colOff>31750</xdr:colOff>
      <xdr:row>4</xdr:row>
      <xdr:rowOff>482600</xdr:rowOff>
    </xdr:to>
    <xdr:sp macro="CrearAsignacionUI" textlink="">
      <xdr:nvSpPr>
        <xdr:cNvPr id="24593" name="Rectángulo: esquinas redondeadas 24592">
          <a:extLst>
            <a:ext uri="{FF2B5EF4-FFF2-40B4-BE49-F238E27FC236}">
              <a16:creationId xmlns:a16="http://schemas.microsoft.com/office/drawing/2014/main" id="{81160C20-C3FB-428B-AFCA-D3FDD24594A1}"/>
            </a:ext>
          </a:extLst>
        </xdr:cNvPr>
        <xdr:cNvSpPr/>
      </xdr:nvSpPr>
      <xdr:spPr>
        <a:xfrm>
          <a:off x="244475" y="930275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ASIGNACIÓN</a:t>
          </a:r>
        </a:p>
      </xdr:txBody>
    </xdr:sp>
    <xdr:clientData/>
  </xdr:twoCellAnchor>
  <xdr:twoCellAnchor editAs="oneCell">
    <xdr:from>
      <xdr:col>1</xdr:col>
      <xdr:colOff>63500</xdr:colOff>
      <xdr:row>6</xdr:row>
      <xdr:rowOff>25400</xdr:rowOff>
    </xdr:from>
    <xdr:to>
      <xdr:col>2</xdr:col>
      <xdr:colOff>31750</xdr:colOff>
      <xdr:row>6</xdr:row>
      <xdr:rowOff>482600</xdr:rowOff>
    </xdr:to>
    <xdr:sp macro="MostrarEstadisticasDelDia" textlink="">
      <xdr:nvSpPr>
        <xdr:cNvPr id="24594" name="Rectángulo: esquinas redondeadas 24593">
          <a:extLst>
            <a:ext uri="{FF2B5EF4-FFF2-40B4-BE49-F238E27FC236}">
              <a16:creationId xmlns:a16="http://schemas.microsoft.com/office/drawing/2014/main" id="{6DEB0439-3762-44DA-8827-FDF5EE0E255B}"/>
            </a:ext>
          </a:extLst>
        </xdr:cNvPr>
        <xdr:cNvSpPr/>
      </xdr:nvSpPr>
      <xdr:spPr>
        <a:xfrm>
          <a:off x="244475" y="1692275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ESTADÍSTICAS HOY</a:t>
          </a:r>
        </a:p>
      </xdr:txBody>
    </xdr:sp>
    <xdr:clientData/>
  </xdr:twoCellAnchor>
  <xdr:twoCellAnchor editAs="oneCell">
    <xdr:from>
      <xdr:col>3</xdr:col>
      <xdr:colOff>63500</xdr:colOff>
      <xdr:row>4</xdr:row>
      <xdr:rowOff>25400</xdr:rowOff>
    </xdr:from>
    <xdr:to>
      <xdr:col>4</xdr:col>
      <xdr:colOff>31750</xdr:colOff>
      <xdr:row>4</xdr:row>
      <xdr:rowOff>482600</xdr:rowOff>
    </xdr:to>
    <xdr:sp macro="GenerarInformeGerencial" textlink="">
      <xdr:nvSpPr>
        <xdr:cNvPr id="24595" name="Rectángulo: esquinas redondeadas 24594">
          <a:extLst>
            <a:ext uri="{FF2B5EF4-FFF2-40B4-BE49-F238E27FC236}">
              <a16:creationId xmlns:a16="http://schemas.microsoft.com/office/drawing/2014/main" id="{4DE01375-6566-42AE-BEFF-3730F1D81EBE}"/>
            </a:ext>
          </a:extLst>
        </xdr:cNvPr>
        <xdr:cNvSpPr/>
      </xdr:nvSpPr>
      <xdr:spPr>
        <a:xfrm>
          <a:off x="3006725" y="930275"/>
          <a:ext cx="2349500" cy="457200"/>
        </a:xfrm>
        <a:prstGeom prst="roundRect">
          <a:avLst/>
        </a:prstGeom>
        <a:solidFill>
          <a:srgbClr val="2C3E5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INFORME GERENCIAL</a:t>
          </a:r>
        </a:p>
      </xdr:txBody>
    </xdr:sp>
    <xdr:clientData/>
  </xdr:twoCellAnchor>
  <xdr:twoCellAnchor editAs="oneCell">
    <xdr:from>
      <xdr:col>3</xdr:col>
      <xdr:colOff>63500</xdr:colOff>
      <xdr:row>6</xdr:row>
      <xdr:rowOff>25400</xdr:rowOff>
    </xdr:from>
    <xdr:to>
      <xdr:col>4</xdr:col>
      <xdr:colOff>31750</xdr:colOff>
      <xdr:row>6</xdr:row>
      <xdr:rowOff>482600</xdr:rowOff>
    </xdr:to>
    <xdr:sp macro="GenerarReporteAvanceProduccion" textlink="">
      <xdr:nvSpPr>
        <xdr:cNvPr id="24596" name="Rectángulo: esquinas redondeadas 24595">
          <a:extLst>
            <a:ext uri="{FF2B5EF4-FFF2-40B4-BE49-F238E27FC236}">
              <a16:creationId xmlns:a16="http://schemas.microsoft.com/office/drawing/2014/main" id="{5A7E1D24-8B0A-4E11-AB33-3746D04934BC}"/>
            </a:ext>
          </a:extLst>
        </xdr:cNvPr>
        <xdr:cNvSpPr/>
      </xdr:nvSpPr>
      <xdr:spPr>
        <a:xfrm>
          <a:off x="3006725" y="1692275"/>
          <a:ext cx="2349500" cy="4572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AVANCE PRODUCCIÓN</a:t>
          </a:r>
        </a:p>
      </xdr:txBody>
    </xdr:sp>
    <xdr:clientData/>
  </xdr:twoCellAnchor>
  <xdr:twoCellAnchor editAs="oneCell">
    <xdr:from>
      <xdr:col>3</xdr:col>
      <xdr:colOff>63500</xdr:colOff>
      <xdr:row>8</xdr:row>
      <xdr:rowOff>25400</xdr:rowOff>
    </xdr:from>
    <xdr:to>
      <xdr:col>4</xdr:col>
      <xdr:colOff>31750</xdr:colOff>
      <xdr:row>8</xdr:row>
      <xdr:rowOff>482600</xdr:rowOff>
    </xdr:to>
    <xdr:sp macro="GenerarReporteEficiencia" textlink="">
      <xdr:nvSpPr>
        <xdr:cNvPr id="24597" name="Rectángulo: esquinas redondeadas 24596">
          <a:extLst>
            <a:ext uri="{FF2B5EF4-FFF2-40B4-BE49-F238E27FC236}">
              <a16:creationId xmlns:a16="http://schemas.microsoft.com/office/drawing/2014/main" id="{8C1C9896-DCA9-43BF-AE9E-13A28327DE76}"/>
            </a:ext>
          </a:extLst>
        </xdr:cNvPr>
        <xdr:cNvSpPr/>
      </xdr:nvSpPr>
      <xdr:spPr>
        <a:xfrm>
          <a:off x="3006725" y="2454275"/>
          <a:ext cx="2349500" cy="457200"/>
        </a:xfrm>
        <a:prstGeom prst="roundRect">
          <a:avLst/>
        </a:prstGeom>
        <a:solidFill>
          <a:srgbClr val="CC66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ANÁLISIS TIEMPOS</a:t>
          </a:r>
        </a:p>
      </xdr:txBody>
    </xdr:sp>
    <xdr:clientData/>
  </xdr:twoCellAnchor>
  <xdr:twoCellAnchor editAs="oneCell">
    <xdr:from>
      <xdr:col>3</xdr:col>
      <xdr:colOff>63500</xdr:colOff>
      <xdr:row>10</xdr:row>
      <xdr:rowOff>25400</xdr:rowOff>
    </xdr:from>
    <xdr:to>
      <xdr:col>4</xdr:col>
      <xdr:colOff>31750</xdr:colOff>
      <xdr:row>10</xdr:row>
      <xdr:rowOff>482600</xdr:rowOff>
    </xdr:to>
    <xdr:sp macro="GenerarInformeGerencialProduccion" textlink="">
      <xdr:nvSpPr>
        <xdr:cNvPr id="24598" name="Rectángulo: esquinas redondeadas 24597">
          <a:extLst>
            <a:ext uri="{FF2B5EF4-FFF2-40B4-BE49-F238E27FC236}">
              <a16:creationId xmlns:a16="http://schemas.microsoft.com/office/drawing/2014/main" id="{5E253DCD-9F45-4AD3-A37E-4E45B6B86C6F}"/>
            </a:ext>
          </a:extLst>
        </xdr:cNvPr>
        <xdr:cNvSpPr/>
      </xdr:nvSpPr>
      <xdr:spPr>
        <a:xfrm>
          <a:off x="3006725" y="3216275"/>
          <a:ext cx="2349500" cy="457200"/>
        </a:xfrm>
        <a:prstGeom prst="roundRect">
          <a:avLst/>
        </a:prstGeom>
        <a:solidFill>
          <a:srgbClr val="2C3E5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INFORME CONSOLIDADO</a:t>
          </a:r>
        </a:p>
      </xdr:txBody>
    </xdr:sp>
    <xdr:clientData/>
  </xdr:twoCellAnchor>
  <xdr:twoCellAnchor editAs="oneCell">
    <xdr:from>
      <xdr:col>1</xdr:col>
      <xdr:colOff>63500</xdr:colOff>
      <xdr:row>10</xdr:row>
      <xdr:rowOff>25400</xdr:rowOff>
    </xdr:from>
    <xdr:to>
      <xdr:col>2</xdr:col>
      <xdr:colOff>31750</xdr:colOff>
      <xdr:row>10</xdr:row>
      <xdr:rowOff>482600</xdr:rowOff>
    </xdr:to>
    <xdr:sp macro="AbrirGestorOperarias" textlink="">
      <xdr:nvSpPr>
        <xdr:cNvPr id="24599" name="Rectángulo: esquinas redondeadas 24598">
          <a:extLst>
            <a:ext uri="{FF2B5EF4-FFF2-40B4-BE49-F238E27FC236}">
              <a16:creationId xmlns:a16="http://schemas.microsoft.com/office/drawing/2014/main" id="{736793E8-42E0-4570-9632-F212AD961EA6}"/>
            </a:ext>
          </a:extLst>
        </xdr:cNvPr>
        <xdr:cNvSpPr/>
      </xdr:nvSpPr>
      <xdr:spPr>
        <a:xfrm>
          <a:off x="244475" y="3216275"/>
          <a:ext cx="2349500" cy="457200"/>
        </a:xfrm>
        <a:prstGeom prst="roundRect">
          <a:avLst/>
        </a:prstGeom>
        <a:solidFill>
          <a:srgbClr val="646464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GESTIÓN OPERARIAS</a:t>
          </a:r>
        </a:p>
      </xdr:txBody>
    </xdr:sp>
    <xdr:clientData/>
  </xdr:twoCellAnchor>
  <xdr:twoCellAnchor editAs="oneCell">
    <xdr:from>
      <xdr:col>1</xdr:col>
      <xdr:colOff>63500</xdr:colOff>
      <xdr:row>12</xdr:row>
      <xdr:rowOff>25400</xdr:rowOff>
    </xdr:from>
    <xdr:to>
      <xdr:col>2</xdr:col>
      <xdr:colOff>31750</xdr:colOff>
      <xdr:row>12</xdr:row>
      <xdr:rowOff>482600</xdr:rowOff>
    </xdr:to>
    <xdr:sp macro="AbrirGestorReferencias" textlink="">
      <xdr:nvSpPr>
        <xdr:cNvPr id="24600" name="Rectángulo: esquinas redondeadas 24599">
          <a:extLst>
            <a:ext uri="{FF2B5EF4-FFF2-40B4-BE49-F238E27FC236}">
              <a16:creationId xmlns:a16="http://schemas.microsoft.com/office/drawing/2014/main" id="{D33BA7C3-6450-430A-96F8-75A38059657E}"/>
            </a:ext>
          </a:extLst>
        </xdr:cNvPr>
        <xdr:cNvSpPr/>
      </xdr:nvSpPr>
      <xdr:spPr>
        <a:xfrm>
          <a:off x="244475" y="3978275"/>
          <a:ext cx="2349500" cy="457200"/>
        </a:xfrm>
        <a:prstGeom prst="roundRect">
          <a:avLst/>
        </a:prstGeom>
        <a:solidFill>
          <a:srgbClr val="646464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GESTIÓN REFERENCIAS</a:t>
          </a:r>
        </a:p>
      </xdr:txBody>
    </xdr:sp>
    <xdr:clientData/>
  </xdr:twoCellAnchor>
  <xdr:twoCellAnchor editAs="oneCell">
    <xdr:from>
      <xdr:col>1</xdr:col>
      <xdr:colOff>63500</xdr:colOff>
      <xdr:row>14</xdr:row>
      <xdr:rowOff>25400</xdr:rowOff>
    </xdr:from>
    <xdr:to>
      <xdr:col>2</xdr:col>
      <xdr:colOff>31750</xdr:colOff>
      <xdr:row>14</xdr:row>
      <xdr:rowOff>482600</xdr:rowOff>
    </xdr:to>
    <xdr:sp macro="AbrirGestorLotes" textlink="">
      <xdr:nvSpPr>
        <xdr:cNvPr id="24601" name="Rectángulo: esquinas redondeadas 24600">
          <a:extLst>
            <a:ext uri="{FF2B5EF4-FFF2-40B4-BE49-F238E27FC236}">
              <a16:creationId xmlns:a16="http://schemas.microsoft.com/office/drawing/2014/main" id="{24D25B4F-BB9E-440A-888A-BE7E54F28644}"/>
            </a:ext>
          </a:extLst>
        </xdr:cNvPr>
        <xdr:cNvSpPr/>
      </xdr:nvSpPr>
      <xdr:spPr>
        <a:xfrm>
          <a:off x="244475" y="5121275"/>
          <a:ext cx="2349500" cy="457200"/>
        </a:xfrm>
        <a:prstGeom prst="roundRect">
          <a:avLst/>
        </a:prstGeom>
        <a:solidFill>
          <a:srgbClr val="0064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GESTIÓN LOTES</a:t>
          </a:r>
        </a:p>
      </xdr:txBody>
    </xdr:sp>
    <xdr:clientData/>
  </xdr:twoCellAnchor>
  <xdr:twoCellAnchor editAs="oneCell">
    <xdr:from>
      <xdr:col>1</xdr:col>
      <xdr:colOff>63500</xdr:colOff>
      <xdr:row>18</xdr:row>
      <xdr:rowOff>25400</xdr:rowOff>
    </xdr:from>
    <xdr:to>
      <xdr:col>2</xdr:col>
      <xdr:colOff>31750</xdr:colOff>
      <xdr:row>18</xdr:row>
      <xdr:rowOff>482600</xdr:rowOff>
    </xdr:to>
    <xdr:sp macro="ActualizarCacheCompleto" textlink="">
      <xdr:nvSpPr>
        <xdr:cNvPr id="24602" name="Rectángulo: esquinas redondeadas 24601">
          <a:extLst>
            <a:ext uri="{FF2B5EF4-FFF2-40B4-BE49-F238E27FC236}">
              <a16:creationId xmlns:a16="http://schemas.microsoft.com/office/drawing/2014/main" id="{B24D9B45-F527-4E13-956B-0F54BC197600}"/>
            </a:ext>
          </a:extLst>
        </xdr:cNvPr>
        <xdr:cNvSpPr/>
      </xdr:nvSpPr>
      <xdr:spPr>
        <a:xfrm>
          <a:off x="244475" y="6264275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RECARGAR CACHÉ</a:t>
          </a:r>
        </a:p>
      </xdr:txBody>
    </xdr:sp>
    <xdr:clientData/>
  </xdr:twoCellAnchor>
  <xdr:twoCellAnchor editAs="oneCell">
    <xdr:from>
      <xdr:col>3</xdr:col>
      <xdr:colOff>63500</xdr:colOff>
      <xdr:row>18</xdr:row>
      <xdr:rowOff>25400</xdr:rowOff>
    </xdr:from>
    <xdr:to>
      <xdr:col>4</xdr:col>
      <xdr:colOff>31750</xdr:colOff>
      <xdr:row>18</xdr:row>
      <xdr:rowOff>482600</xdr:rowOff>
    </xdr:to>
    <xdr:sp macro="InicializarSistema" textlink="">
      <xdr:nvSpPr>
        <xdr:cNvPr id="24603" name="Rectángulo: esquinas redondeadas 24602">
          <a:extLst>
            <a:ext uri="{FF2B5EF4-FFF2-40B4-BE49-F238E27FC236}">
              <a16:creationId xmlns:a16="http://schemas.microsoft.com/office/drawing/2014/main" id="{19D8861D-2E0E-4726-9E1F-60517088DCB0}"/>
            </a:ext>
          </a:extLst>
        </xdr:cNvPr>
        <xdr:cNvSpPr/>
      </xdr:nvSpPr>
      <xdr:spPr>
        <a:xfrm>
          <a:off x="3006725" y="6264275"/>
          <a:ext cx="2349500" cy="4572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RESETEAR SISTEMA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5</xdr:col>
          <xdr:colOff>95250</xdr:colOff>
          <xdr:row>12</xdr:row>
          <xdr:rowOff>304800</xdr:rowOff>
        </xdr:to>
        <xdr:sp macro="" textlink="">
          <xdr:nvSpPr>
            <xdr:cNvPr id="24604" name="cboBuscarRef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52C8115C-098D-4A57-BB26-3DBFD3AB7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63500</xdr:colOff>
      <xdr:row>13</xdr:row>
      <xdr:rowOff>25400</xdr:rowOff>
    </xdr:from>
    <xdr:to>
      <xdr:col>4</xdr:col>
      <xdr:colOff>31750</xdr:colOff>
      <xdr:row>13</xdr:row>
      <xdr:rowOff>482600</xdr:rowOff>
    </xdr:to>
    <xdr:sp macro="BuscarYEditarReferencia" textlink="">
      <xdr:nvSpPr>
        <xdr:cNvPr id="24605" name="Rectángulo: esquinas redondeadas 24604">
          <a:extLst>
            <a:ext uri="{FF2B5EF4-FFF2-40B4-BE49-F238E27FC236}">
              <a16:creationId xmlns:a16="http://schemas.microsoft.com/office/drawing/2014/main" id="{694AF713-E3B6-4780-B2CE-84F1F070513A}"/>
            </a:ext>
          </a:extLst>
        </xdr:cNvPr>
        <xdr:cNvSpPr/>
      </xdr:nvSpPr>
      <xdr:spPr>
        <a:xfrm>
          <a:off x="3006725" y="4549775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REFERENCIA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AF21CF3-8655-49E5-89F8-FF48BBC557BF}"/>
            </a:ext>
          </a:extLst>
        </xdr:cNvPr>
        <xdr:cNvSpPr/>
      </xdr:nvSpPr>
      <xdr:spPr>
        <a:xfrm>
          <a:off x="1162685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3</xdr:col>
      <xdr:colOff>31750</xdr:colOff>
      <xdr:row>1</xdr:row>
      <xdr:rowOff>482600</xdr:rowOff>
    </xdr:to>
    <xdr:sp macro="CrearAsignacionUI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972ED4E7-258B-472D-A1B4-CC7AF1F545CD}"/>
            </a:ext>
          </a:extLst>
        </xdr:cNvPr>
        <xdr:cNvSpPr/>
      </xdr:nvSpPr>
      <xdr:spPr>
        <a:xfrm>
          <a:off x="777875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ASIGNACIÓN</a:t>
          </a:r>
        </a:p>
      </xdr:txBody>
    </xdr:sp>
    <xdr:clientData/>
  </xdr:twoCellAnchor>
  <xdr:twoCellAnchor editAs="oneCell">
    <xdr:from>
      <xdr:col>5</xdr:col>
      <xdr:colOff>63500</xdr:colOff>
      <xdr:row>1</xdr:row>
      <xdr:rowOff>25400</xdr:rowOff>
    </xdr:from>
    <xdr:to>
      <xdr:col>6</xdr:col>
      <xdr:colOff>431800</xdr:colOff>
      <xdr:row>1</xdr:row>
      <xdr:rowOff>482600</xdr:rowOff>
    </xdr:to>
    <xdr:sp macro="EditarMaestroSeleccionad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940CACD8-68A4-42E3-B262-7AD7BF097C4E}"/>
            </a:ext>
          </a:extLst>
        </xdr:cNvPr>
        <xdr:cNvSpPr/>
      </xdr:nvSpPr>
      <xdr:spPr>
        <a:xfrm>
          <a:off x="6235700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SELECCIONADA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9</xdr:col>
      <xdr:colOff>2413000</xdr:colOff>
      <xdr:row>1</xdr:row>
      <xdr:rowOff>482600</xdr:rowOff>
    </xdr:to>
    <xdr:sp macro="IrAInici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7D2BB12-8270-4F82-8268-B2C84FE74EC3}"/>
            </a:ext>
          </a:extLst>
        </xdr:cNvPr>
        <xdr:cNvSpPr/>
      </xdr:nvSpPr>
      <xdr:spPr>
        <a:xfrm>
          <a:off x="116935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2</xdr:col>
      <xdr:colOff>365125</xdr:colOff>
      <xdr:row>1</xdr:row>
      <xdr:rowOff>482600</xdr:rowOff>
    </xdr:to>
    <xdr:sp macro="AbrirGestorOperarias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A48E820-CD67-466B-8C68-38F31860A73A}"/>
            </a:ext>
          </a:extLst>
        </xdr:cNvPr>
        <xdr:cNvSpPr/>
      </xdr:nvSpPr>
      <xdr:spPr>
        <a:xfrm>
          <a:off x="511175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7</xdr:col>
      <xdr:colOff>117475</xdr:colOff>
      <xdr:row>1</xdr:row>
      <xdr:rowOff>482600</xdr:rowOff>
    </xdr:to>
    <xdr:sp macro="EditarMaestroSeleccionad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11EAAFDC-C179-48A7-BF50-AAA49D759B69}"/>
            </a:ext>
          </a:extLst>
        </xdr:cNvPr>
        <xdr:cNvSpPr/>
      </xdr:nvSpPr>
      <xdr:spPr>
        <a:xfrm>
          <a:off x="4244975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F8B543B-4A70-450C-A48F-59AFA5081DA1}"/>
            </a:ext>
          </a:extLst>
        </xdr:cNvPr>
        <xdr:cNvSpPr/>
      </xdr:nvSpPr>
      <xdr:spPr>
        <a:xfrm>
          <a:off x="743585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2</xdr:col>
      <xdr:colOff>269875</xdr:colOff>
      <xdr:row>1</xdr:row>
      <xdr:rowOff>482600</xdr:rowOff>
    </xdr:to>
    <xdr:sp macro="AbrirGestorReferencias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D102A445-95ED-4C31-9B68-F38E178BE219}"/>
            </a:ext>
          </a:extLst>
        </xdr:cNvPr>
        <xdr:cNvSpPr/>
      </xdr:nvSpPr>
      <xdr:spPr>
        <a:xfrm>
          <a:off x="111125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7</xdr:col>
      <xdr:colOff>355600</xdr:colOff>
      <xdr:row>1</xdr:row>
      <xdr:rowOff>482600</xdr:rowOff>
    </xdr:to>
    <xdr:sp macro="EditarMaestroSeleccionad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7686FDE7-EFEA-4D19-B5A4-9F8E5F4BF392}"/>
            </a:ext>
          </a:extLst>
        </xdr:cNvPr>
        <xdr:cNvSpPr/>
      </xdr:nvSpPr>
      <xdr:spPr>
        <a:xfrm>
          <a:off x="6530975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30D8BC3-6836-4629-BC29-57F410141965}"/>
            </a:ext>
          </a:extLst>
        </xdr:cNvPr>
        <xdr:cNvSpPr/>
      </xdr:nvSpPr>
      <xdr:spPr>
        <a:xfrm>
          <a:off x="94837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5</xdr:col>
      <xdr:colOff>431800</xdr:colOff>
      <xdr:row>1</xdr:row>
      <xdr:rowOff>482600</xdr:rowOff>
    </xdr:to>
    <xdr:sp macro="AbrirGestorColores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7B665996-5D0F-46E9-A937-11AED3D2C13F}"/>
            </a:ext>
          </a:extLst>
        </xdr:cNvPr>
        <xdr:cNvSpPr/>
      </xdr:nvSpPr>
      <xdr:spPr>
        <a:xfrm>
          <a:off x="111125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9</xdr:col>
      <xdr:colOff>174625</xdr:colOff>
      <xdr:row>1</xdr:row>
      <xdr:rowOff>482600</xdr:rowOff>
    </xdr:to>
    <xdr:sp macro="EditarMaestroSeleccionad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F651F04D-F930-46BE-9D93-73CAEAD6F7CE}"/>
            </a:ext>
          </a:extLst>
        </xdr:cNvPr>
        <xdr:cNvSpPr/>
      </xdr:nvSpPr>
      <xdr:spPr>
        <a:xfrm>
          <a:off x="2644775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22543384-216A-4F83-BBB7-A924859B34C6}"/>
            </a:ext>
          </a:extLst>
        </xdr:cNvPr>
        <xdr:cNvSpPr/>
      </xdr:nvSpPr>
      <xdr:spPr>
        <a:xfrm>
          <a:off x="488315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6</xdr:col>
      <xdr:colOff>279400</xdr:colOff>
      <xdr:row>1</xdr:row>
      <xdr:rowOff>482600</xdr:rowOff>
    </xdr:to>
    <xdr:sp macro="AbrirGestorTallas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77DE541A-995D-4ACA-B600-B23CE56AFB72}"/>
            </a:ext>
          </a:extLst>
        </xdr:cNvPr>
        <xdr:cNvSpPr/>
      </xdr:nvSpPr>
      <xdr:spPr>
        <a:xfrm>
          <a:off x="111125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9</xdr:col>
      <xdr:colOff>174625</xdr:colOff>
      <xdr:row>1</xdr:row>
      <xdr:rowOff>482600</xdr:rowOff>
    </xdr:to>
    <xdr:sp macro="EditarMaestroSeleccionad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93616DEA-C700-4F1F-AE1E-C5B8F6F2BB44}"/>
            </a:ext>
          </a:extLst>
        </xdr:cNvPr>
        <xdr:cNvSpPr/>
      </xdr:nvSpPr>
      <xdr:spPr>
        <a:xfrm>
          <a:off x="2349500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2126E03-266A-4C6D-83C7-BAF890C07A9D}"/>
            </a:ext>
          </a:extLst>
        </xdr:cNvPr>
        <xdr:cNvSpPr/>
      </xdr:nvSpPr>
      <xdr:spPr>
        <a:xfrm>
          <a:off x="45878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2</xdr:col>
      <xdr:colOff>1470025</xdr:colOff>
      <xdr:row>1</xdr:row>
      <xdr:rowOff>482600</xdr:rowOff>
    </xdr:to>
    <xdr:sp macro="AbrirGestorTareas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589DECB2-E6EC-4E55-A283-5C5C844FCA90}"/>
            </a:ext>
          </a:extLst>
        </xdr:cNvPr>
        <xdr:cNvSpPr/>
      </xdr:nvSpPr>
      <xdr:spPr>
        <a:xfrm>
          <a:off x="111125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4</xdr:col>
      <xdr:colOff>2413000</xdr:colOff>
      <xdr:row>1</xdr:row>
      <xdr:rowOff>482600</xdr:rowOff>
    </xdr:to>
    <xdr:sp macro="EditarMaestroSeleccionad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B2F7B165-F9A0-4194-9CE7-F44199449023}"/>
            </a:ext>
          </a:extLst>
        </xdr:cNvPr>
        <xdr:cNvSpPr/>
      </xdr:nvSpPr>
      <xdr:spPr>
        <a:xfrm>
          <a:off x="6521450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A597A140-AB59-4B2C-8D97-8B654A85D75B}"/>
            </a:ext>
          </a:extLst>
        </xdr:cNvPr>
        <xdr:cNvSpPr/>
      </xdr:nvSpPr>
      <xdr:spPr>
        <a:xfrm>
          <a:off x="1433195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4</xdr:col>
      <xdr:colOff>41275</xdr:colOff>
      <xdr:row>1</xdr:row>
      <xdr:rowOff>482600</xdr:rowOff>
    </xdr:to>
    <xdr:sp macro="AbrirGestorLotes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639587C1-F367-43E2-8702-29878BAA2CF6}"/>
            </a:ext>
          </a:extLst>
        </xdr:cNvPr>
        <xdr:cNvSpPr/>
      </xdr:nvSpPr>
      <xdr:spPr>
        <a:xfrm>
          <a:off x="204470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6</xdr:col>
      <xdr:colOff>146050</xdr:colOff>
      <xdr:row>1</xdr:row>
      <xdr:rowOff>482600</xdr:rowOff>
    </xdr:to>
    <xdr:sp macro="EditarMaestroSeleccionad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B2A36CDE-9487-4B3B-AAF5-3F66E902F86F}"/>
            </a:ext>
          </a:extLst>
        </xdr:cNvPr>
        <xdr:cNvSpPr/>
      </xdr:nvSpPr>
      <xdr:spPr>
        <a:xfrm>
          <a:off x="4416425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11</xdr:col>
      <xdr:colOff>365125</xdr:colOff>
      <xdr:row>1</xdr:row>
      <xdr:rowOff>482600</xdr:rowOff>
    </xdr:to>
    <xdr:sp macro="IrAInici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AFF015D7-08A3-47EF-91DF-B5140EAA27BD}"/>
            </a:ext>
          </a:extLst>
        </xdr:cNvPr>
        <xdr:cNvSpPr/>
      </xdr:nvSpPr>
      <xdr:spPr>
        <a:xfrm>
          <a:off x="109220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C2C332D0-7094-4A69-B78C-655BCF337134}"/>
            </a:ext>
          </a:extLst>
        </xdr:cNvPr>
        <xdr:cNvSpPr/>
      </xdr:nvSpPr>
      <xdr:spPr>
        <a:xfrm>
          <a:off x="105886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603700E9-76D5-43F8-8E00-F111D8E716A5}"/>
            </a:ext>
          </a:extLst>
        </xdr:cNvPr>
        <xdr:cNvSpPr/>
      </xdr:nvSpPr>
      <xdr:spPr>
        <a:xfrm>
          <a:off x="79216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BD572B0-365A-4603-A36E-0D9194F497C9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EA9E19B-08E4-43BE-B05F-425C042436F6}"/>
            </a:ext>
          </a:extLst>
        </xdr:cNvPr>
        <xdr:cNvSpPr/>
      </xdr:nvSpPr>
      <xdr:spPr>
        <a:xfrm>
          <a:off x="133508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11</xdr:col>
      <xdr:colOff>479425</xdr:colOff>
      <xdr:row>1</xdr:row>
      <xdr:rowOff>482600</xdr:rowOff>
    </xdr:to>
    <xdr:sp macro="IrAInic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3FD83707-2564-4940-B938-080D4011A287}"/>
            </a:ext>
          </a:extLst>
        </xdr:cNvPr>
        <xdr:cNvSpPr/>
      </xdr:nvSpPr>
      <xdr:spPr>
        <a:xfrm>
          <a:off x="83978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1F24DB0-94B7-4004-8BE4-86DAE427E74E}"/>
            </a:ext>
          </a:extLst>
        </xdr:cNvPr>
        <xdr:cNvSpPr/>
      </xdr:nvSpPr>
      <xdr:spPr>
        <a:xfrm>
          <a:off x="82931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4F24CD63-C5A5-42D6-870B-5D7E12425634}"/>
            </a:ext>
          </a:extLst>
        </xdr:cNvPr>
        <xdr:cNvSpPr/>
      </xdr:nvSpPr>
      <xdr:spPr>
        <a:xfrm>
          <a:off x="92360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E2EC719-D051-494D-B805-040D73C410C1}"/>
            </a:ext>
          </a:extLst>
        </xdr:cNvPr>
        <xdr:cNvSpPr/>
      </xdr:nvSpPr>
      <xdr:spPr>
        <a:xfrm>
          <a:off x="114458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17999B8-54D8-4C31-A4AF-7A1966C0F28B}"/>
            </a:ext>
          </a:extLst>
        </xdr:cNvPr>
        <xdr:cNvSpPr/>
      </xdr:nvSpPr>
      <xdr:spPr>
        <a:xfrm>
          <a:off x="94837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F7ADBBDD-9E6E-43DE-B385-E9161AABDDE1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A9560B14-4CA3-4136-9362-82D83C46F897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31CA0DA3-48AD-43E4-A82F-CCB370979741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2A2A3-9887-4B69-8D31-162203A9EDE6}">
  <sheetPr codeName="Hoja1"/>
  <dimension ref="A1:U3"/>
  <sheetViews>
    <sheetView workbookViewId="0">
      <selection activeCell="N11" sqref="N11"/>
    </sheetView>
  </sheetViews>
  <sheetFormatPr baseColWidth="10" defaultRowHeight="15" x14ac:dyDescent="0.25"/>
  <sheetData>
    <row r="1" spans="1:21" ht="15" customHeight="1" x14ac:dyDescent="0.25"/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56A3F-232B-4ABC-A9C8-E883481F12D1}">
  <sheetPr codeName="Hoja24"/>
  <dimension ref="B2:D19"/>
  <sheetViews>
    <sheetView topLeftCell="A10" workbookViewId="0">
      <selection activeCell="H17" sqref="H17"/>
    </sheetView>
  </sheetViews>
  <sheetFormatPr baseColWidth="10" defaultRowHeight="15" x14ac:dyDescent="0.25"/>
  <cols>
    <col min="1" max="1" width="2.7109375" customWidth="1"/>
    <col min="2" max="2" width="35.7109375" customWidth="1"/>
    <col min="3" max="3" width="5.7109375" customWidth="1"/>
    <col min="4" max="4" width="35.7109375" customWidth="1"/>
  </cols>
  <sheetData>
    <row r="2" spans="2:4" ht="26.25" x14ac:dyDescent="0.4">
      <c r="B2" s="15" t="s">
        <v>247</v>
      </c>
    </row>
    <row r="5" spans="2:4" ht="45" customHeight="1" x14ac:dyDescent="0.25"/>
    <row r="7" spans="2:4" ht="45" customHeight="1" x14ac:dyDescent="0.25"/>
    <row r="9" spans="2:4" ht="45" customHeight="1" x14ac:dyDescent="0.25"/>
    <row r="11" spans="2:4" ht="45" customHeight="1" x14ac:dyDescent="0.25"/>
    <row r="12" spans="2:4" x14ac:dyDescent="0.25">
      <c r="D12" s="12" t="s">
        <v>248</v>
      </c>
    </row>
    <row r="13" spans="2:4" ht="45" customHeight="1" x14ac:dyDescent="0.25"/>
    <row r="14" spans="2:4" ht="45" customHeight="1" x14ac:dyDescent="0.25"/>
    <row r="15" spans="2:4" ht="45" customHeight="1" x14ac:dyDescent="0.25"/>
    <row r="19" ht="45" customHeight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604" r:id="rId3" name="cboBuscarRef">
          <controlPr defaultSize="0" autoLine="0" r:id="rId4">
            <anchor moveWithCells="1">
              <from>
                <xdr:col>3</xdr:col>
                <xdr:colOff>57150</xdr:colOff>
                <xdr:row>12</xdr:row>
                <xdr:rowOff>0</xdr:rowOff>
              </from>
              <to>
                <xdr:col>5</xdr:col>
                <xdr:colOff>95250</xdr:colOff>
                <xdr:row>12</xdr:row>
                <xdr:rowOff>304800</xdr:rowOff>
              </to>
            </anchor>
          </controlPr>
        </control>
      </mc:Choice>
      <mc:Fallback>
        <control shapeId="24590" r:id="rId3" name="cboBuscarRef"/>
      </mc:Fallback>
    </mc:AlternateContent>
    <mc:AlternateContent xmlns:mc="http://schemas.openxmlformats.org/markup-compatibility/2006">
      <mc:Choice Requires="x14">
        <control shapeId="24579" r:id="rId5" name="cboSearchRef">
          <controlPr defaultSize="0" autoLine="0" r:id="rId4">
            <anchor moveWithCells="1">
              <from>
                <xdr:col>3</xdr:col>
                <xdr:colOff>57150</xdr:colOff>
                <xdr:row>12</xdr:row>
                <xdr:rowOff>0</xdr:rowOff>
              </from>
              <to>
                <xdr:col>5</xdr:col>
                <xdr:colOff>95250</xdr:colOff>
                <xdr:row>12</xdr:row>
                <xdr:rowOff>304800</xdr:rowOff>
              </to>
            </anchor>
          </controlPr>
        </control>
      </mc:Choice>
      <mc:Fallback>
        <control shapeId="24579" r:id="rId5" name="cboSearchRe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8ABE9-7FEE-4653-8F8E-0BDE4BD65449}">
  <sheetPr codeName="Hoja3">
    <tabColor rgb="FFFFC000"/>
  </sheetPr>
  <dimension ref="B1:B30"/>
  <sheetViews>
    <sheetView workbookViewId="0">
      <selection activeCell="B24" sqref="B24"/>
    </sheetView>
  </sheetViews>
  <sheetFormatPr baseColWidth="10" defaultRowHeight="15" x14ac:dyDescent="0.25"/>
  <cols>
    <col min="1" max="1" width="2.7109375" customWidth="1"/>
    <col min="2" max="2" width="90.7109375" customWidth="1"/>
  </cols>
  <sheetData>
    <row r="1" spans="2:2" ht="15" customHeight="1" x14ac:dyDescent="0.25"/>
    <row r="2" spans="2:2" ht="45" customHeight="1" x14ac:dyDescent="0.4">
      <c r="B2" s="14" t="s">
        <v>249</v>
      </c>
    </row>
    <row r="3" spans="2:2" ht="21.95" customHeight="1" x14ac:dyDescent="0.25"/>
    <row r="5" spans="2:2" ht="24.95" customHeight="1" x14ac:dyDescent="0.25">
      <c r="B5" s="16" t="s">
        <v>250</v>
      </c>
    </row>
    <row r="6" spans="2:2" ht="27.95" customHeight="1" x14ac:dyDescent="0.25">
      <c r="B6" t="s">
        <v>251</v>
      </c>
    </row>
    <row r="8" spans="2:2" ht="24.95" customHeight="1" x14ac:dyDescent="0.25">
      <c r="B8" s="16" t="s">
        <v>252</v>
      </c>
    </row>
    <row r="9" spans="2:2" ht="27.95" customHeight="1" x14ac:dyDescent="0.25">
      <c r="B9" t="s">
        <v>253</v>
      </c>
    </row>
    <row r="11" spans="2:2" ht="24.95" customHeight="1" x14ac:dyDescent="0.25"/>
    <row r="12" spans="2:2" ht="27.95" customHeight="1" x14ac:dyDescent="0.25"/>
    <row r="14" spans="2:2" ht="24.95" customHeight="1" x14ac:dyDescent="0.25"/>
    <row r="15" spans="2:2" ht="27.95" customHeight="1" x14ac:dyDescent="0.25"/>
    <row r="17" ht="24.95" customHeight="1" x14ac:dyDescent="0.25"/>
    <row r="18" ht="27.95" customHeight="1" x14ac:dyDescent="0.25"/>
    <row r="20" ht="24.95" customHeight="1" x14ac:dyDescent="0.25"/>
    <row r="21" ht="27.95" customHeight="1" x14ac:dyDescent="0.25"/>
    <row r="24" ht="27.95" customHeight="1" x14ac:dyDescent="0.25"/>
    <row r="27" ht="27.95" customHeight="1" x14ac:dyDescent="0.25"/>
    <row r="30" ht="27.95" customHeight="1" x14ac:dyDescent="0.25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C4AAC-E460-41A6-8788-EADF8A1D9F3F}">
  <sheetPr codeName="Hoja4">
    <tabColor rgb="FFC00000"/>
  </sheetPr>
  <dimension ref="A1:V463"/>
  <sheetViews>
    <sheetView tabSelected="1" topLeftCell="A442" workbookViewId="0">
      <selection activeCell="J459" sqref="J459"/>
    </sheetView>
  </sheetViews>
  <sheetFormatPr baseColWidth="10" defaultRowHeight="15" x14ac:dyDescent="0.25"/>
  <cols>
    <col min="1" max="1" width="10.7109375" bestFit="1" customWidth="1"/>
    <col min="2" max="2" width="11.5703125" style="5" bestFit="1" customWidth="1"/>
    <col min="3" max="3" width="24.140625" style="5" bestFit="1" customWidth="1"/>
    <col min="4" max="4" width="15.7109375" bestFit="1" customWidth="1"/>
    <col min="5" max="5" width="22.140625" style="5" bestFit="1" customWidth="1"/>
    <col min="6" max="6" width="29.7109375" bestFit="1" customWidth="1"/>
    <col min="7" max="7" width="14.7109375" style="5" bestFit="1" customWidth="1"/>
    <col min="8" max="8" width="14.140625" style="5" bestFit="1" customWidth="1"/>
    <col min="9" max="9" width="14.140625" bestFit="1" customWidth="1"/>
    <col min="10" max="10" width="49.5703125" style="5" bestFit="1" customWidth="1"/>
    <col min="11" max="11" width="28.5703125" style="40" bestFit="1" customWidth="1"/>
    <col min="12" max="12" width="25.85546875" style="8" bestFit="1" customWidth="1"/>
    <col min="13" max="13" width="32.42578125" style="8" bestFit="1" customWidth="1"/>
    <col min="14" max="14" width="31.140625" style="5" bestFit="1" customWidth="1"/>
    <col min="15" max="15" width="17.5703125" style="5" bestFit="1" customWidth="1"/>
    <col min="16" max="16" width="26.85546875" style="42" bestFit="1" customWidth="1"/>
    <col min="17" max="17" width="50.7109375" customWidth="1"/>
    <col min="18" max="18" width="30.7109375" bestFit="1" customWidth="1"/>
    <col min="19" max="19" width="18.85546875" bestFit="1" customWidth="1"/>
    <col min="20" max="20" width="21.28515625" bestFit="1" customWidth="1"/>
    <col min="21" max="21" width="19.140625" bestFit="1" customWidth="1"/>
    <col min="22" max="22" width="11.140625" bestFit="1" customWidth="1"/>
  </cols>
  <sheetData>
    <row r="1" spans="1:22" ht="15" customHeight="1" x14ac:dyDescent="0.25">
      <c r="A1" s="24"/>
      <c r="D1" s="24"/>
      <c r="F1" s="24"/>
      <c r="I1" s="24"/>
      <c r="L1" s="36"/>
      <c r="M1" s="36"/>
      <c r="P1" s="41"/>
      <c r="Q1" s="19"/>
      <c r="R1" s="24"/>
      <c r="S1" s="24"/>
      <c r="T1" s="24"/>
      <c r="U1" s="24"/>
      <c r="V1" s="24"/>
    </row>
    <row r="2" spans="1:22" ht="45" customHeight="1" x14ac:dyDescent="0.25">
      <c r="A2" s="24"/>
      <c r="D2" s="24"/>
      <c r="F2" s="24"/>
      <c r="I2" s="24"/>
      <c r="L2" s="36"/>
      <c r="M2" s="36"/>
      <c r="P2" s="41"/>
      <c r="Q2" s="19"/>
      <c r="R2" s="24"/>
      <c r="S2" s="24"/>
      <c r="T2" s="24"/>
      <c r="U2" s="24"/>
      <c r="V2" s="24"/>
    </row>
    <row r="3" spans="1:22" x14ac:dyDescent="0.25">
      <c r="A3" s="6" t="s">
        <v>6</v>
      </c>
      <c r="B3" s="6" t="s">
        <v>163</v>
      </c>
      <c r="C3" s="6" t="s">
        <v>164</v>
      </c>
      <c r="D3" s="6" t="s">
        <v>165</v>
      </c>
      <c r="E3" s="6" t="s">
        <v>166</v>
      </c>
      <c r="F3" s="6" t="s">
        <v>167</v>
      </c>
      <c r="G3" s="6" t="s">
        <v>3</v>
      </c>
      <c r="H3" s="6" t="s">
        <v>178</v>
      </c>
      <c r="I3" s="6" t="s">
        <v>174</v>
      </c>
      <c r="J3" s="6" t="s">
        <v>175</v>
      </c>
      <c r="K3" s="6" t="s">
        <v>179</v>
      </c>
      <c r="L3" s="13" t="s">
        <v>180</v>
      </c>
      <c r="M3" s="13" t="s">
        <v>181</v>
      </c>
      <c r="N3" s="6" t="s">
        <v>182</v>
      </c>
      <c r="O3" s="6" t="s">
        <v>183</v>
      </c>
      <c r="P3" s="6" t="s">
        <v>184</v>
      </c>
      <c r="Q3" s="20" t="s">
        <v>7</v>
      </c>
      <c r="R3" s="6" t="s">
        <v>185</v>
      </c>
      <c r="S3" s="6" t="s">
        <v>186</v>
      </c>
      <c r="T3" s="6" t="s">
        <v>187</v>
      </c>
      <c r="U3" s="6" t="s">
        <v>188</v>
      </c>
      <c r="V3" s="6" t="s">
        <v>421</v>
      </c>
    </row>
    <row r="4" spans="1:22" s="4" customFormat="1" x14ac:dyDescent="0.25">
      <c r="A4" s="32">
        <v>46085</v>
      </c>
      <c r="B4" s="7" t="s">
        <v>29</v>
      </c>
      <c r="C4" s="7" t="s">
        <v>38</v>
      </c>
      <c r="D4" s="34" t="s">
        <v>53</v>
      </c>
      <c r="E4" s="7" t="s">
        <v>54</v>
      </c>
      <c r="F4" s="34" t="s">
        <v>89</v>
      </c>
      <c r="G4" s="7" t="s">
        <v>56</v>
      </c>
      <c r="H4" s="7" t="s">
        <v>49</v>
      </c>
      <c r="I4" s="34">
        <v>2</v>
      </c>
      <c r="J4" s="7" t="s">
        <v>60</v>
      </c>
      <c r="K4" s="7">
        <v>23</v>
      </c>
      <c r="L4" s="37">
        <v>60</v>
      </c>
      <c r="M4" s="37">
        <v>1380</v>
      </c>
      <c r="N4" s="7">
        <v>23</v>
      </c>
      <c r="O4" s="7" t="s">
        <v>85</v>
      </c>
      <c r="P4" s="34">
        <v>23</v>
      </c>
      <c r="Q4" s="44"/>
      <c r="R4" s="34">
        <v>505</v>
      </c>
      <c r="S4" s="32">
        <v>46085</v>
      </c>
      <c r="T4" s="34">
        <v>23</v>
      </c>
      <c r="U4" s="34">
        <v>0</v>
      </c>
      <c r="V4" s="34">
        <f>+K4-P4</f>
        <v>0</v>
      </c>
    </row>
    <row r="5" spans="1:22" s="1" customFormat="1" x14ac:dyDescent="0.25">
      <c r="A5" s="33">
        <v>46085</v>
      </c>
      <c r="B5" s="9" t="s">
        <v>27</v>
      </c>
      <c r="C5" s="9" t="s">
        <v>36</v>
      </c>
      <c r="D5" s="35" t="s">
        <v>53</v>
      </c>
      <c r="E5" s="9" t="s">
        <v>54</v>
      </c>
      <c r="F5" s="35" t="s">
        <v>87</v>
      </c>
      <c r="G5" s="9" t="s">
        <v>56</v>
      </c>
      <c r="H5" s="9" t="s">
        <v>80</v>
      </c>
      <c r="I5" s="35">
        <v>1</v>
      </c>
      <c r="J5" s="9" t="s">
        <v>57</v>
      </c>
      <c r="K5" s="9">
        <v>23</v>
      </c>
      <c r="L5" s="38">
        <v>40</v>
      </c>
      <c r="M5" s="38">
        <v>920</v>
      </c>
      <c r="N5" s="9">
        <v>15.333333333333334</v>
      </c>
      <c r="O5" s="9" t="s">
        <v>85</v>
      </c>
      <c r="P5" s="35">
        <v>23</v>
      </c>
      <c r="Q5" s="43"/>
      <c r="R5" s="35">
        <v>512.66666666666663</v>
      </c>
      <c r="S5" s="33">
        <v>46085</v>
      </c>
      <c r="T5" s="35">
        <v>15</v>
      </c>
      <c r="U5" s="35">
        <v>-0.33333333333333393</v>
      </c>
      <c r="V5" s="35">
        <f t="shared" ref="V5:V68" si="0">+K5-P5</f>
        <v>0</v>
      </c>
    </row>
    <row r="6" spans="1:22" s="4" customFormat="1" x14ac:dyDescent="0.25">
      <c r="A6" s="32">
        <v>46085</v>
      </c>
      <c r="B6" s="7" t="s">
        <v>27</v>
      </c>
      <c r="C6" s="7" t="s">
        <v>36</v>
      </c>
      <c r="D6" s="34" t="s">
        <v>53</v>
      </c>
      <c r="E6" s="7" t="s">
        <v>54</v>
      </c>
      <c r="F6" s="34" t="s">
        <v>88</v>
      </c>
      <c r="G6" s="7" t="s">
        <v>56</v>
      </c>
      <c r="H6" s="7" t="s">
        <v>48</v>
      </c>
      <c r="I6" s="34">
        <v>1</v>
      </c>
      <c r="J6" s="7" t="s">
        <v>57</v>
      </c>
      <c r="K6" s="7">
        <v>37</v>
      </c>
      <c r="L6" s="37">
        <v>40</v>
      </c>
      <c r="M6" s="37">
        <v>1480</v>
      </c>
      <c r="N6" s="7">
        <v>24.666666666666668</v>
      </c>
      <c r="O6" s="7" t="s">
        <v>85</v>
      </c>
      <c r="P6" s="34">
        <v>37</v>
      </c>
      <c r="Q6" s="44"/>
      <c r="R6" s="34">
        <v>527.33333333333337</v>
      </c>
      <c r="S6" s="32">
        <v>46085</v>
      </c>
      <c r="T6" s="34">
        <v>24</v>
      </c>
      <c r="U6" s="34">
        <v>-0.66666666666666785</v>
      </c>
      <c r="V6" s="34">
        <f t="shared" si="0"/>
        <v>0</v>
      </c>
    </row>
    <row r="7" spans="1:22" s="1" customFormat="1" x14ac:dyDescent="0.25">
      <c r="A7" s="33">
        <v>46085</v>
      </c>
      <c r="B7" s="9" t="s">
        <v>27</v>
      </c>
      <c r="C7" s="9" t="s">
        <v>36</v>
      </c>
      <c r="D7" s="35" t="s">
        <v>53</v>
      </c>
      <c r="E7" s="9" t="s">
        <v>54</v>
      </c>
      <c r="F7" s="35" t="s">
        <v>89</v>
      </c>
      <c r="G7" s="9" t="s">
        <v>56</v>
      </c>
      <c r="H7" s="9" t="s">
        <v>49</v>
      </c>
      <c r="I7" s="35">
        <v>1</v>
      </c>
      <c r="J7" s="9" t="s">
        <v>57</v>
      </c>
      <c r="K7" s="9">
        <v>23</v>
      </c>
      <c r="L7" s="38">
        <v>40</v>
      </c>
      <c r="M7" s="38">
        <v>920</v>
      </c>
      <c r="N7" s="9">
        <v>15.333333333333334</v>
      </c>
      <c r="O7" s="9" t="s">
        <v>85</v>
      </c>
      <c r="P7" s="35">
        <v>23</v>
      </c>
      <c r="Q7" s="43"/>
      <c r="R7" s="35">
        <v>487.33333333333331</v>
      </c>
      <c r="S7" s="33">
        <v>46085</v>
      </c>
      <c r="T7" s="35">
        <v>15</v>
      </c>
      <c r="U7" s="35">
        <v>-0.33333333333333393</v>
      </c>
      <c r="V7" s="35">
        <f t="shared" si="0"/>
        <v>0</v>
      </c>
    </row>
    <row r="8" spans="1:22" s="4" customFormat="1" x14ac:dyDescent="0.25">
      <c r="A8" s="32">
        <v>46085</v>
      </c>
      <c r="B8" s="7" t="s">
        <v>27</v>
      </c>
      <c r="C8" s="7" t="s">
        <v>36</v>
      </c>
      <c r="D8" s="34" t="s">
        <v>53</v>
      </c>
      <c r="E8" s="7" t="s">
        <v>54</v>
      </c>
      <c r="F8" s="34" t="s">
        <v>90</v>
      </c>
      <c r="G8" s="7" t="s">
        <v>56</v>
      </c>
      <c r="H8" s="7" t="s">
        <v>50</v>
      </c>
      <c r="I8" s="34">
        <v>1</v>
      </c>
      <c r="J8" s="7" t="s">
        <v>57</v>
      </c>
      <c r="K8" s="7">
        <v>12</v>
      </c>
      <c r="L8" s="37">
        <v>40</v>
      </c>
      <c r="M8" s="37">
        <v>480</v>
      </c>
      <c r="N8" s="7">
        <v>8</v>
      </c>
      <c r="O8" s="7" t="s">
        <v>85</v>
      </c>
      <c r="P8" s="34">
        <v>12</v>
      </c>
      <c r="Q8" s="44"/>
      <c r="R8" s="34">
        <v>367.33333333333331</v>
      </c>
      <c r="S8" s="32">
        <v>46085</v>
      </c>
      <c r="T8" s="34">
        <v>8</v>
      </c>
      <c r="U8" s="34">
        <v>0</v>
      </c>
      <c r="V8" s="34">
        <f t="shared" si="0"/>
        <v>0</v>
      </c>
    </row>
    <row r="9" spans="1:22" s="1" customFormat="1" x14ac:dyDescent="0.25">
      <c r="A9" s="33">
        <v>46085</v>
      </c>
      <c r="B9" s="9" t="s">
        <v>27</v>
      </c>
      <c r="C9" s="9" t="s">
        <v>36</v>
      </c>
      <c r="D9" s="35" t="s">
        <v>53</v>
      </c>
      <c r="E9" s="9" t="s">
        <v>54</v>
      </c>
      <c r="F9" s="35" t="s">
        <v>87</v>
      </c>
      <c r="G9" s="9" t="s">
        <v>56</v>
      </c>
      <c r="H9" s="9" t="s">
        <v>80</v>
      </c>
      <c r="I9" s="35">
        <v>3</v>
      </c>
      <c r="J9" s="9" t="s">
        <v>42</v>
      </c>
      <c r="K9" s="9">
        <v>23</v>
      </c>
      <c r="L9" s="38">
        <v>30</v>
      </c>
      <c r="M9" s="38">
        <v>690</v>
      </c>
      <c r="N9" s="9">
        <v>11.5</v>
      </c>
      <c r="O9" s="9" t="s">
        <v>85</v>
      </c>
      <c r="P9" s="35">
        <v>23</v>
      </c>
      <c r="Q9" s="43"/>
      <c r="R9" s="35">
        <v>327.5</v>
      </c>
      <c r="S9" s="33">
        <v>46085</v>
      </c>
      <c r="T9" s="35">
        <v>11</v>
      </c>
      <c r="U9" s="35">
        <v>-0.5</v>
      </c>
      <c r="V9" s="35">
        <f t="shared" si="0"/>
        <v>0</v>
      </c>
    </row>
    <row r="10" spans="1:22" s="4" customFormat="1" x14ac:dyDescent="0.25">
      <c r="A10" s="32">
        <v>46085</v>
      </c>
      <c r="B10" s="7" t="s">
        <v>27</v>
      </c>
      <c r="C10" s="7" t="s">
        <v>36</v>
      </c>
      <c r="D10" s="34" t="s">
        <v>53</v>
      </c>
      <c r="E10" s="7" t="s">
        <v>54</v>
      </c>
      <c r="F10" s="34" t="s">
        <v>88</v>
      </c>
      <c r="G10" s="7" t="s">
        <v>56</v>
      </c>
      <c r="H10" s="7" t="s">
        <v>48</v>
      </c>
      <c r="I10" s="34">
        <v>3</v>
      </c>
      <c r="J10" s="7" t="s">
        <v>42</v>
      </c>
      <c r="K10" s="7">
        <v>37</v>
      </c>
      <c r="L10" s="37">
        <v>30</v>
      </c>
      <c r="M10" s="37">
        <v>1110</v>
      </c>
      <c r="N10" s="7">
        <v>18.5</v>
      </c>
      <c r="O10" s="7" t="s">
        <v>85</v>
      </c>
      <c r="P10" s="34">
        <v>37</v>
      </c>
      <c r="Q10" s="44"/>
      <c r="R10" s="34">
        <v>297.5</v>
      </c>
      <c r="S10" s="32">
        <v>46085</v>
      </c>
      <c r="T10" s="34">
        <v>18</v>
      </c>
      <c r="U10" s="34">
        <v>-0.5</v>
      </c>
      <c r="V10" s="34">
        <f t="shared" si="0"/>
        <v>0</v>
      </c>
    </row>
    <row r="11" spans="1:22" s="1" customFormat="1" x14ac:dyDescent="0.25">
      <c r="A11" s="33">
        <v>46085</v>
      </c>
      <c r="B11" s="9" t="s">
        <v>29</v>
      </c>
      <c r="C11" s="9" t="s">
        <v>38</v>
      </c>
      <c r="D11" s="35" t="s">
        <v>53</v>
      </c>
      <c r="E11" s="9" t="s">
        <v>54</v>
      </c>
      <c r="F11" s="35" t="s">
        <v>88</v>
      </c>
      <c r="G11" s="9" t="s">
        <v>56</v>
      </c>
      <c r="H11" s="9" t="s">
        <v>48</v>
      </c>
      <c r="I11" s="35">
        <v>2</v>
      </c>
      <c r="J11" s="9" t="s">
        <v>60</v>
      </c>
      <c r="K11" s="9">
        <v>37</v>
      </c>
      <c r="L11" s="38">
        <v>60</v>
      </c>
      <c r="M11" s="38">
        <v>2220</v>
      </c>
      <c r="N11" s="9">
        <v>37</v>
      </c>
      <c r="O11" s="9" t="s">
        <v>85</v>
      </c>
      <c r="P11" s="35">
        <v>37</v>
      </c>
      <c r="Q11" s="43"/>
      <c r="R11" s="35">
        <v>527</v>
      </c>
      <c r="S11" s="33">
        <v>46085</v>
      </c>
      <c r="T11" s="35">
        <v>37</v>
      </c>
      <c r="U11" s="35">
        <v>0</v>
      </c>
      <c r="V11" s="35">
        <f t="shared" si="0"/>
        <v>0</v>
      </c>
    </row>
    <row r="12" spans="1:22" s="4" customFormat="1" x14ac:dyDescent="0.25">
      <c r="A12" s="32">
        <v>46085</v>
      </c>
      <c r="B12" s="7" t="s">
        <v>29</v>
      </c>
      <c r="C12" s="7" t="s">
        <v>38</v>
      </c>
      <c r="D12" s="34" t="s">
        <v>53</v>
      </c>
      <c r="E12" s="7" t="s">
        <v>54</v>
      </c>
      <c r="F12" s="34" t="s">
        <v>87</v>
      </c>
      <c r="G12" s="7" t="s">
        <v>56</v>
      </c>
      <c r="H12" s="7" t="s">
        <v>80</v>
      </c>
      <c r="I12" s="34">
        <v>2</v>
      </c>
      <c r="J12" s="7" t="s">
        <v>60</v>
      </c>
      <c r="K12" s="7">
        <v>23</v>
      </c>
      <c r="L12" s="37">
        <v>60</v>
      </c>
      <c r="M12" s="37">
        <v>1380</v>
      </c>
      <c r="N12" s="7">
        <v>23</v>
      </c>
      <c r="O12" s="7" t="s">
        <v>85</v>
      </c>
      <c r="P12" s="34">
        <v>23</v>
      </c>
      <c r="Q12" s="44"/>
      <c r="R12" s="34">
        <v>467</v>
      </c>
      <c r="S12" s="32">
        <v>46085</v>
      </c>
      <c r="T12" s="34">
        <v>23</v>
      </c>
      <c r="U12" s="34">
        <v>0</v>
      </c>
      <c r="V12" s="34">
        <f t="shared" si="0"/>
        <v>0</v>
      </c>
    </row>
    <row r="13" spans="1:22" s="1" customFormat="1" x14ac:dyDescent="0.25">
      <c r="A13" s="33">
        <v>46085</v>
      </c>
      <c r="B13" s="9" t="s">
        <v>29</v>
      </c>
      <c r="C13" s="9" t="s">
        <v>38</v>
      </c>
      <c r="D13" s="35" t="s">
        <v>53</v>
      </c>
      <c r="E13" s="9" t="s">
        <v>54</v>
      </c>
      <c r="F13" s="35" t="s">
        <v>90</v>
      </c>
      <c r="G13" s="9" t="s">
        <v>56</v>
      </c>
      <c r="H13" s="9" t="s">
        <v>50</v>
      </c>
      <c r="I13" s="35">
        <v>2</v>
      </c>
      <c r="J13" s="9" t="s">
        <v>60</v>
      </c>
      <c r="K13" s="9">
        <v>12</v>
      </c>
      <c r="L13" s="38">
        <v>60</v>
      </c>
      <c r="M13" s="38">
        <v>720</v>
      </c>
      <c r="N13" s="9">
        <v>12</v>
      </c>
      <c r="O13" s="9" t="s">
        <v>85</v>
      </c>
      <c r="P13" s="35">
        <v>12</v>
      </c>
      <c r="Q13" s="43"/>
      <c r="R13" s="35">
        <v>407</v>
      </c>
      <c r="S13" s="33">
        <v>46085</v>
      </c>
      <c r="T13" s="35">
        <v>12</v>
      </c>
      <c r="U13" s="35">
        <v>0</v>
      </c>
      <c r="V13" s="35">
        <f t="shared" si="0"/>
        <v>0</v>
      </c>
    </row>
    <row r="14" spans="1:22" s="4" customFormat="1" x14ac:dyDescent="0.25">
      <c r="A14" s="32">
        <v>46085</v>
      </c>
      <c r="B14" s="7" t="s">
        <v>27</v>
      </c>
      <c r="C14" s="7" t="s">
        <v>36</v>
      </c>
      <c r="D14" s="34" t="s">
        <v>53</v>
      </c>
      <c r="E14" s="7" t="s">
        <v>54</v>
      </c>
      <c r="F14" s="34" t="s">
        <v>89</v>
      </c>
      <c r="G14" s="7" t="s">
        <v>56</v>
      </c>
      <c r="H14" s="7" t="s">
        <v>49</v>
      </c>
      <c r="I14" s="34">
        <v>3</v>
      </c>
      <c r="J14" s="7" t="s">
        <v>42</v>
      </c>
      <c r="K14" s="7">
        <v>23</v>
      </c>
      <c r="L14" s="37">
        <v>30</v>
      </c>
      <c r="M14" s="37">
        <v>690</v>
      </c>
      <c r="N14" s="7">
        <v>11.5</v>
      </c>
      <c r="O14" s="7" t="s">
        <v>85</v>
      </c>
      <c r="P14" s="34">
        <v>23</v>
      </c>
      <c r="Q14" s="44"/>
      <c r="R14" s="34">
        <v>347.5</v>
      </c>
      <c r="S14" s="32">
        <v>46085</v>
      </c>
      <c r="T14" s="34">
        <v>11</v>
      </c>
      <c r="U14" s="34">
        <v>-0.5</v>
      </c>
      <c r="V14" s="34">
        <f t="shared" si="0"/>
        <v>0</v>
      </c>
    </row>
    <row r="15" spans="1:22" s="1" customFormat="1" x14ac:dyDescent="0.25">
      <c r="A15" s="33">
        <v>46085</v>
      </c>
      <c r="B15" s="9" t="s">
        <v>27</v>
      </c>
      <c r="C15" s="9" t="s">
        <v>36</v>
      </c>
      <c r="D15" s="35" t="s">
        <v>53</v>
      </c>
      <c r="E15" s="9" t="s">
        <v>54</v>
      </c>
      <c r="F15" s="35" t="s">
        <v>90</v>
      </c>
      <c r="G15" s="9" t="s">
        <v>56</v>
      </c>
      <c r="H15" s="9" t="s">
        <v>50</v>
      </c>
      <c r="I15" s="35">
        <v>3</v>
      </c>
      <c r="J15" s="9" t="s">
        <v>42</v>
      </c>
      <c r="K15" s="9">
        <v>12</v>
      </c>
      <c r="L15" s="38">
        <v>30</v>
      </c>
      <c r="M15" s="38">
        <v>360</v>
      </c>
      <c r="N15" s="9">
        <v>6</v>
      </c>
      <c r="O15" s="9" t="s">
        <v>85</v>
      </c>
      <c r="P15" s="35">
        <v>12</v>
      </c>
      <c r="Q15" s="43"/>
      <c r="R15" s="35">
        <v>317.5</v>
      </c>
      <c r="S15" s="33">
        <v>46085</v>
      </c>
      <c r="T15" s="35">
        <v>6</v>
      </c>
      <c r="U15" s="35">
        <v>0</v>
      </c>
      <c r="V15" s="35">
        <f t="shared" si="0"/>
        <v>0</v>
      </c>
    </row>
    <row r="16" spans="1:22" s="4" customFormat="1" x14ac:dyDescent="0.25">
      <c r="A16" s="32">
        <v>46085</v>
      </c>
      <c r="B16" s="7" t="s">
        <v>27</v>
      </c>
      <c r="C16" s="7" t="s">
        <v>36</v>
      </c>
      <c r="D16" s="34" t="s">
        <v>53</v>
      </c>
      <c r="E16" s="7" t="s">
        <v>54</v>
      </c>
      <c r="F16" s="34" t="s">
        <v>87</v>
      </c>
      <c r="G16" s="7" t="s">
        <v>56</v>
      </c>
      <c r="H16" s="7" t="s">
        <v>80</v>
      </c>
      <c r="I16" s="34">
        <v>6</v>
      </c>
      <c r="J16" s="7" t="s">
        <v>67</v>
      </c>
      <c r="K16" s="7">
        <v>23</v>
      </c>
      <c r="L16" s="37">
        <v>40</v>
      </c>
      <c r="M16" s="37">
        <v>920</v>
      </c>
      <c r="N16" s="7">
        <v>15.333333333333334</v>
      </c>
      <c r="O16" s="7" t="s">
        <v>85</v>
      </c>
      <c r="P16" s="34">
        <v>23</v>
      </c>
      <c r="Q16" s="44"/>
      <c r="R16" s="34">
        <v>287.33333333333331</v>
      </c>
      <c r="S16" s="32">
        <v>46085</v>
      </c>
      <c r="T16" s="34">
        <v>15.33</v>
      </c>
      <c r="U16" s="34">
        <v>-3.3333333333338544E-3</v>
      </c>
      <c r="V16" s="34">
        <f t="shared" si="0"/>
        <v>0</v>
      </c>
    </row>
    <row r="17" spans="1:22" s="1" customFormat="1" x14ac:dyDescent="0.25">
      <c r="A17" s="33">
        <v>46085</v>
      </c>
      <c r="B17" s="9" t="s">
        <v>27</v>
      </c>
      <c r="C17" s="9" t="s">
        <v>36</v>
      </c>
      <c r="D17" s="35" t="s">
        <v>53</v>
      </c>
      <c r="E17" s="9" t="s">
        <v>54</v>
      </c>
      <c r="F17" s="35" t="s">
        <v>88</v>
      </c>
      <c r="G17" s="9" t="s">
        <v>56</v>
      </c>
      <c r="H17" s="9" t="s">
        <v>48</v>
      </c>
      <c r="I17" s="35">
        <v>6</v>
      </c>
      <c r="J17" s="9" t="s">
        <v>67</v>
      </c>
      <c r="K17" s="9">
        <v>37</v>
      </c>
      <c r="L17" s="38">
        <v>40</v>
      </c>
      <c r="M17" s="38">
        <v>1480</v>
      </c>
      <c r="N17" s="9">
        <v>24.666666666666668</v>
      </c>
      <c r="O17" s="9" t="s">
        <v>85</v>
      </c>
      <c r="P17" s="35">
        <v>37</v>
      </c>
      <c r="Q17" s="43"/>
      <c r="R17" s="35">
        <v>247.33333333333334</v>
      </c>
      <c r="S17" s="33">
        <v>46085</v>
      </c>
      <c r="T17" s="35">
        <v>24</v>
      </c>
      <c r="U17" s="35">
        <v>-0.66666666666666785</v>
      </c>
      <c r="V17" s="35">
        <f t="shared" si="0"/>
        <v>0</v>
      </c>
    </row>
    <row r="18" spans="1:22" s="4" customFormat="1" x14ac:dyDescent="0.25">
      <c r="A18" s="32">
        <v>46085</v>
      </c>
      <c r="B18" s="7" t="s">
        <v>27</v>
      </c>
      <c r="C18" s="7" t="s">
        <v>36</v>
      </c>
      <c r="D18" s="34" t="s">
        <v>53</v>
      </c>
      <c r="E18" s="7" t="s">
        <v>54</v>
      </c>
      <c r="F18" s="34" t="s">
        <v>89</v>
      </c>
      <c r="G18" s="7" t="s">
        <v>56</v>
      </c>
      <c r="H18" s="7" t="s">
        <v>49</v>
      </c>
      <c r="I18" s="34">
        <v>6</v>
      </c>
      <c r="J18" s="7" t="s">
        <v>67</v>
      </c>
      <c r="K18" s="7">
        <v>23</v>
      </c>
      <c r="L18" s="37">
        <v>40</v>
      </c>
      <c r="M18" s="37">
        <v>920</v>
      </c>
      <c r="N18" s="7">
        <v>15.333333333333334</v>
      </c>
      <c r="O18" s="7" t="s">
        <v>85</v>
      </c>
      <c r="P18" s="34">
        <v>23</v>
      </c>
      <c r="Q18" s="44"/>
      <c r="R18" s="34">
        <v>207.33333333333334</v>
      </c>
      <c r="S18" s="32">
        <v>46085</v>
      </c>
      <c r="T18" s="34">
        <v>15</v>
      </c>
      <c r="U18" s="34">
        <v>-0.33333333333333393</v>
      </c>
      <c r="V18" s="34">
        <f t="shared" si="0"/>
        <v>0</v>
      </c>
    </row>
    <row r="19" spans="1:22" s="1" customFormat="1" x14ac:dyDescent="0.25">
      <c r="A19" s="33">
        <v>46085</v>
      </c>
      <c r="B19" s="9" t="s">
        <v>27</v>
      </c>
      <c r="C19" s="9" t="s">
        <v>36</v>
      </c>
      <c r="D19" s="35" t="s">
        <v>53</v>
      </c>
      <c r="E19" s="9" t="s">
        <v>54</v>
      </c>
      <c r="F19" s="35" t="s">
        <v>90</v>
      </c>
      <c r="G19" s="9" t="s">
        <v>56</v>
      </c>
      <c r="H19" s="9" t="s">
        <v>50</v>
      </c>
      <c r="I19" s="35">
        <v>6</v>
      </c>
      <c r="J19" s="9" t="s">
        <v>67</v>
      </c>
      <c r="K19" s="9">
        <v>12</v>
      </c>
      <c r="L19" s="38">
        <v>40</v>
      </c>
      <c r="M19" s="38">
        <v>480</v>
      </c>
      <c r="N19" s="9">
        <v>8</v>
      </c>
      <c r="O19" s="9" t="s">
        <v>85</v>
      </c>
      <c r="P19" s="35">
        <v>12</v>
      </c>
      <c r="Q19" s="43"/>
      <c r="R19" s="35">
        <v>127.33333333333333</v>
      </c>
      <c r="S19" s="33">
        <v>46085</v>
      </c>
      <c r="T19" s="35">
        <v>8</v>
      </c>
      <c r="U19" s="35">
        <v>0</v>
      </c>
      <c r="V19" s="35">
        <f t="shared" si="0"/>
        <v>0</v>
      </c>
    </row>
    <row r="20" spans="1:22" s="4" customFormat="1" x14ac:dyDescent="0.25">
      <c r="A20" s="32">
        <v>46085</v>
      </c>
      <c r="B20" s="7" t="s">
        <v>27</v>
      </c>
      <c r="C20" s="7" t="s">
        <v>36</v>
      </c>
      <c r="D20" s="34" t="s">
        <v>53</v>
      </c>
      <c r="E20" s="7" t="s">
        <v>54</v>
      </c>
      <c r="F20" s="34" t="s">
        <v>87</v>
      </c>
      <c r="G20" s="7" t="s">
        <v>56</v>
      </c>
      <c r="H20" s="7" t="s">
        <v>80</v>
      </c>
      <c r="I20" s="34">
        <v>8</v>
      </c>
      <c r="J20" s="7" t="s">
        <v>69</v>
      </c>
      <c r="K20" s="7">
        <v>23</v>
      </c>
      <c r="L20" s="37">
        <v>150</v>
      </c>
      <c r="M20" s="37">
        <v>3450</v>
      </c>
      <c r="N20" s="7">
        <v>57.5</v>
      </c>
      <c r="O20" s="7" t="s">
        <v>85</v>
      </c>
      <c r="P20" s="34">
        <v>23</v>
      </c>
      <c r="Q20" s="44"/>
      <c r="R20" s="34">
        <v>125.5</v>
      </c>
      <c r="S20" s="32">
        <v>46085</v>
      </c>
      <c r="T20" s="34">
        <v>2</v>
      </c>
      <c r="U20" s="34">
        <v>-55.5</v>
      </c>
      <c r="V20" s="34">
        <f t="shared" si="0"/>
        <v>0</v>
      </c>
    </row>
    <row r="21" spans="1:22" s="1" customFormat="1" x14ac:dyDescent="0.25">
      <c r="A21" s="33">
        <v>46085</v>
      </c>
      <c r="B21" s="9" t="s">
        <v>27</v>
      </c>
      <c r="C21" s="9" t="s">
        <v>36</v>
      </c>
      <c r="D21" s="35" t="s">
        <v>53</v>
      </c>
      <c r="E21" s="9" t="s">
        <v>54</v>
      </c>
      <c r="F21" s="35" t="s">
        <v>88</v>
      </c>
      <c r="G21" s="9" t="s">
        <v>56</v>
      </c>
      <c r="H21" s="9" t="s">
        <v>48</v>
      </c>
      <c r="I21" s="35">
        <v>8</v>
      </c>
      <c r="J21" s="9" t="s">
        <v>69</v>
      </c>
      <c r="K21" s="9">
        <v>37</v>
      </c>
      <c r="L21" s="38">
        <v>150</v>
      </c>
      <c r="M21" s="38">
        <v>5550</v>
      </c>
      <c r="N21" s="9">
        <v>92.5</v>
      </c>
      <c r="O21" s="9" t="s">
        <v>85</v>
      </c>
      <c r="P21" s="35">
        <v>37</v>
      </c>
      <c r="Q21" s="43" t="s">
        <v>86</v>
      </c>
      <c r="R21" s="35">
        <v>525.5</v>
      </c>
      <c r="S21" s="33">
        <v>46086</v>
      </c>
      <c r="T21" s="35">
        <v>95</v>
      </c>
      <c r="U21" s="35">
        <v>2.5</v>
      </c>
      <c r="V21" s="35">
        <f t="shared" si="0"/>
        <v>0</v>
      </c>
    </row>
    <row r="22" spans="1:22" s="4" customFormat="1" x14ac:dyDescent="0.25">
      <c r="A22" s="32">
        <v>46085</v>
      </c>
      <c r="B22" s="7" t="s">
        <v>30</v>
      </c>
      <c r="C22" s="7" t="s">
        <v>40</v>
      </c>
      <c r="D22" s="34" t="s">
        <v>53</v>
      </c>
      <c r="E22" s="7" t="s">
        <v>54</v>
      </c>
      <c r="F22" s="34" t="s">
        <v>94</v>
      </c>
      <c r="G22" s="7" t="s">
        <v>55</v>
      </c>
      <c r="H22" s="7" t="s">
        <v>51</v>
      </c>
      <c r="I22" s="34">
        <v>1</v>
      </c>
      <c r="J22" s="7" t="s">
        <v>57</v>
      </c>
      <c r="K22" s="7">
        <v>36</v>
      </c>
      <c r="L22" s="37">
        <v>40</v>
      </c>
      <c r="M22" s="37">
        <v>1440</v>
      </c>
      <c r="N22" s="7">
        <v>24</v>
      </c>
      <c r="O22" s="7" t="s">
        <v>85</v>
      </c>
      <c r="P22" s="34">
        <v>36</v>
      </c>
      <c r="Q22" s="44"/>
      <c r="R22" s="34">
        <v>504</v>
      </c>
      <c r="S22" s="32">
        <v>46085</v>
      </c>
      <c r="T22" s="34">
        <v>35</v>
      </c>
      <c r="U22" s="34">
        <v>11</v>
      </c>
      <c r="V22" s="34">
        <f t="shared" si="0"/>
        <v>0</v>
      </c>
    </row>
    <row r="23" spans="1:22" s="1" customFormat="1" ht="30" x14ac:dyDescent="0.25">
      <c r="A23" s="33">
        <v>46085</v>
      </c>
      <c r="B23" s="9" t="s">
        <v>30</v>
      </c>
      <c r="C23" s="9" t="s">
        <v>40</v>
      </c>
      <c r="D23" s="35" t="s">
        <v>53</v>
      </c>
      <c r="E23" s="9" t="s">
        <v>54</v>
      </c>
      <c r="F23" s="35" t="s">
        <v>94</v>
      </c>
      <c r="G23" s="9" t="s">
        <v>55</v>
      </c>
      <c r="H23" s="9" t="s">
        <v>51</v>
      </c>
      <c r="I23" s="35">
        <v>2</v>
      </c>
      <c r="J23" s="9" t="s">
        <v>60</v>
      </c>
      <c r="K23" s="9">
        <v>36</v>
      </c>
      <c r="L23" s="38">
        <v>60</v>
      </c>
      <c r="M23" s="38">
        <v>2160</v>
      </c>
      <c r="N23" s="9">
        <v>36</v>
      </c>
      <c r="O23" s="9" t="s">
        <v>85</v>
      </c>
      <c r="P23" s="35">
        <v>36</v>
      </c>
      <c r="Q23" s="43" t="s">
        <v>95</v>
      </c>
      <c r="R23" s="35">
        <v>492</v>
      </c>
      <c r="S23" s="33">
        <v>46085</v>
      </c>
      <c r="T23" s="35">
        <v>50</v>
      </c>
      <c r="U23" s="35">
        <v>14</v>
      </c>
      <c r="V23" s="35">
        <f t="shared" si="0"/>
        <v>0</v>
      </c>
    </row>
    <row r="24" spans="1:22" s="4" customFormat="1" x14ac:dyDescent="0.25">
      <c r="A24" s="32">
        <v>46085</v>
      </c>
      <c r="B24" s="7" t="s">
        <v>29</v>
      </c>
      <c r="C24" s="7" t="s">
        <v>38</v>
      </c>
      <c r="D24" s="34" t="s">
        <v>53</v>
      </c>
      <c r="E24" s="7" t="s">
        <v>54</v>
      </c>
      <c r="F24" s="34" t="s">
        <v>87</v>
      </c>
      <c r="G24" s="7" t="s">
        <v>56</v>
      </c>
      <c r="H24" s="7" t="s">
        <v>51</v>
      </c>
      <c r="I24" s="34">
        <v>9</v>
      </c>
      <c r="J24" s="7" t="s">
        <v>71</v>
      </c>
      <c r="K24" s="7">
        <v>23</v>
      </c>
      <c r="L24" s="37">
        <v>40</v>
      </c>
      <c r="M24" s="37">
        <v>920</v>
      </c>
      <c r="N24" s="7">
        <v>15.333333333333334</v>
      </c>
      <c r="O24" s="7" t="s">
        <v>85</v>
      </c>
      <c r="P24" s="34">
        <v>23</v>
      </c>
      <c r="Q24" s="44"/>
      <c r="R24" s="34">
        <v>31664.666666666668</v>
      </c>
      <c r="S24" s="32">
        <v>46085</v>
      </c>
      <c r="T24" s="34">
        <v>16</v>
      </c>
      <c r="U24" s="34">
        <v>0.66666666666666607</v>
      </c>
      <c r="V24" s="34">
        <f t="shared" si="0"/>
        <v>0</v>
      </c>
    </row>
    <row r="25" spans="1:22" s="1" customFormat="1" x14ac:dyDescent="0.25">
      <c r="A25" s="33">
        <v>46085</v>
      </c>
      <c r="B25" s="9" t="s">
        <v>29</v>
      </c>
      <c r="C25" s="9" t="s">
        <v>38</v>
      </c>
      <c r="D25" s="35" t="s">
        <v>53</v>
      </c>
      <c r="E25" s="9" t="s">
        <v>54</v>
      </c>
      <c r="F25" s="35" t="s">
        <v>88</v>
      </c>
      <c r="G25" s="9" t="s">
        <v>56</v>
      </c>
      <c r="H25" s="9" t="s">
        <v>48</v>
      </c>
      <c r="I25" s="35">
        <v>9</v>
      </c>
      <c r="J25" s="9" t="s">
        <v>71</v>
      </c>
      <c r="K25" s="9">
        <v>37</v>
      </c>
      <c r="L25" s="38">
        <v>40</v>
      </c>
      <c r="M25" s="38">
        <v>1480</v>
      </c>
      <c r="N25" s="9">
        <v>24.666666666666668</v>
      </c>
      <c r="O25" s="9" t="s">
        <v>85</v>
      </c>
      <c r="P25" s="35">
        <v>37</v>
      </c>
      <c r="Q25" s="43"/>
      <c r="R25" s="35">
        <v>31640.333333333332</v>
      </c>
      <c r="S25" s="33">
        <v>46085</v>
      </c>
      <c r="T25" s="35">
        <v>25</v>
      </c>
      <c r="U25" s="35">
        <v>0.33333333333333215</v>
      </c>
      <c r="V25" s="35">
        <f t="shared" si="0"/>
        <v>0</v>
      </c>
    </row>
    <row r="26" spans="1:22" s="4" customFormat="1" x14ac:dyDescent="0.25">
      <c r="A26" s="32">
        <v>46085</v>
      </c>
      <c r="B26" s="7" t="s">
        <v>29</v>
      </c>
      <c r="C26" s="7" t="s">
        <v>38</v>
      </c>
      <c r="D26" s="34" t="s">
        <v>53</v>
      </c>
      <c r="E26" s="7" t="s">
        <v>54</v>
      </c>
      <c r="F26" s="34" t="s">
        <v>89</v>
      </c>
      <c r="G26" s="7" t="s">
        <v>56</v>
      </c>
      <c r="H26" s="7" t="s">
        <v>49</v>
      </c>
      <c r="I26" s="34">
        <v>9</v>
      </c>
      <c r="J26" s="7" t="s">
        <v>71</v>
      </c>
      <c r="K26" s="7">
        <v>23</v>
      </c>
      <c r="L26" s="37">
        <v>40</v>
      </c>
      <c r="M26" s="37">
        <v>920</v>
      </c>
      <c r="N26" s="7">
        <v>15.333333333333334</v>
      </c>
      <c r="O26" s="7" t="s">
        <v>119</v>
      </c>
      <c r="P26" s="34">
        <v>23</v>
      </c>
      <c r="Q26" s="44"/>
      <c r="R26" s="34">
        <v>31625.666666666668</v>
      </c>
      <c r="S26" s="32">
        <v>46085</v>
      </c>
      <c r="T26" s="34">
        <v>0</v>
      </c>
      <c r="U26" s="34">
        <v>0</v>
      </c>
      <c r="V26" s="34">
        <f t="shared" si="0"/>
        <v>0</v>
      </c>
    </row>
    <row r="27" spans="1:22" s="1" customFormat="1" x14ac:dyDescent="0.25">
      <c r="A27" s="33">
        <v>46085</v>
      </c>
      <c r="B27" s="9" t="s">
        <v>29</v>
      </c>
      <c r="C27" s="9" t="s">
        <v>38</v>
      </c>
      <c r="D27" s="35" t="s">
        <v>53</v>
      </c>
      <c r="E27" s="9" t="s">
        <v>54</v>
      </c>
      <c r="F27" s="35" t="s">
        <v>90</v>
      </c>
      <c r="G27" s="9" t="s">
        <v>56</v>
      </c>
      <c r="H27" s="9" t="s">
        <v>50</v>
      </c>
      <c r="I27" s="35">
        <v>9</v>
      </c>
      <c r="J27" s="9" t="s">
        <v>71</v>
      </c>
      <c r="K27" s="9">
        <v>12</v>
      </c>
      <c r="L27" s="38">
        <v>40</v>
      </c>
      <c r="M27" s="38">
        <v>480</v>
      </c>
      <c r="N27" s="9">
        <v>8</v>
      </c>
      <c r="O27" s="9" t="s">
        <v>119</v>
      </c>
      <c r="P27" s="35">
        <v>12</v>
      </c>
      <c r="Q27" s="43"/>
      <c r="R27" s="35">
        <v>31618</v>
      </c>
      <c r="S27" s="33">
        <v>46085</v>
      </c>
      <c r="T27" s="35">
        <v>0</v>
      </c>
      <c r="U27" s="35">
        <v>0</v>
      </c>
      <c r="V27" s="35">
        <f t="shared" si="0"/>
        <v>0</v>
      </c>
    </row>
    <row r="28" spans="1:22" s="4" customFormat="1" x14ac:dyDescent="0.25">
      <c r="A28" s="32">
        <v>46085</v>
      </c>
      <c r="B28" s="7" t="s">
        <v>29</v>
      </c>
      <c r="C28" s="7" t="s">
        <v>38</v>
      </c>
      <c r="D28" s="34" t="s">
        <v>53</v>
      </c>
      <c r="E28" s="7" t="s">
        <v>54</v>
      </c>
      <c r="F28" s="34" t="s">
        <v>87</v>
      </c>
      <c r="G28" s="7" t="s">
        <v>56</v>
      </c>
      <c r="H28" s="7" t="s">
        <v>51</v>
      </c>
      <c r="I28" s="34">
        <v>10</v>
      </c>
      <c r="J28" s="7" t="s">
        <v>73</v>
      </c>
      <c r="K28" s="7">
        <v>23</v>
      </c>
      <c r="L28" s="37">
        <v>40</v>
      </c>
      <c r="M28" s="37">
        <v>920</v>
      </c>
      <c r="N28" s="7">
        <v>15.333333333333334</v>
      </c>
      <c r="O28" s="7" t="s">
        <v>119</v>
      </c>
      <c r="P28" s="34">
        <v>23</v>
      </c>
      <c r="Q28" s="44"/>
      <c r="R28" s="34">
        <v>31602.666666666668</v>
      </c>
      <c r="S28" s="32">
        <v>46085</v>
      </c>
      <c r="T28" s="34">
        <v>0</v>
      </c>
      <c r="U28" s="34">
        <v>0</v>
      </c>
      <c r="V28" s="34">
        <f t="shared" si="0"/>
        <v>0</v>
      </c>
    </row>
    <row r="29" spans="1:22" s="1" customFormat="1" x14ac:dyDescent="0.25">
      <c r="A29" s="33">
        <v>46085</v>
      </c>
      <c r="B29" s="9" t="s">
        <v>29</v>
      </c>
      <c r="C29" s="9" t="s">
        <v>38</v>
      </c>
      <c r="D29" s="35" t="s">
        <v>53</v>
      </c>
      <c r="E29" s="9" t="s">
        <v>54</v>
      </c>
      <c r="F29" s="35" t="s">
        <v>88</v>
      </c>
      <c r="G29" s="9" t="s">
        <v>56</v>
      </c>
      <c r="H29" s="9" t="s">
        <v>48</v>
      </c>
      <c r="I29" s="35">
        <v>10</v>
      </c>
      <c r="J29" s="9" t="s">
        <v>73</v>
      </c>
      <c r="K29" s="9">
        <v>37</v>
      </c>
      <c r="L29" s="38">
        <v>40</v>
      </c>
      <c r="M29" s="38">
        <v>1480</v>
      </c>
      <c r="N29" s="9">
        <v>24.666666666666668</v>
      </c>
      <c r="O29" s="9" t="s">
        <v>85</v>
      </c>
      <c r="P29" s="35">
        <v>37</v>
      </c>
      <c r="Q29" s="43"/>
      <c r="R29" s="35">
        <v>31578.333333333332</v>
      </c>
      <c r="S29" s="33">
        <v>46085</v>
      </c>
      <c r="T29" s="35">
        <v>25</v>
      </c>
      <c r="U29" s="35">
        <v>0.33333333333333215</v>
      </c>
      <c r="V29" s="35">
        <f t="shared" si="0"/>
        <v>0</v>
      </c>
    </row>
    <row r="30" spans="1:22" s="4" customFormat="1" x14ac:dyDescent="0.25">
      <c r="A30" s="32">
        <v>46085</v>
      </c>
      <c r="B30" s="7" t="s">
        <v>29</v>
      </c>
      <c r="C30" s="7" t="s">
        <v>38</v>
      </c>
      <c r="D30" s="34" t="s">
        <v>53</v>
      </c>
      <c r="E30" s="7" t="s">
        <v>54</v>
      </c>
      <c r="F30" s="34" t="s">
        <v>89</v>
      </c>
      <c r="G30" s="7" t="s">
        <v>56</v>
      </c>
      <c r="H30" s="7" t="s">
        <v>49</v>
      </c>
      <c r="I30" s="34">
        <v>10</v>
      </c>
      <c r="J30" s="7" t="s">
        <v>73</v>
      </c>
      <c r="K30" s="7">
        <v>23</v>
      </c>
      <c r="L30" s="37">
        <v>40</v>
      </c>
      <c r="M30" s="37">
        <v>920</v>
      </c>
      <c r="N30" s="7">
        <v>15.333333333333334</v>
      </c>
      <c r="O30" s="7" t="s">
        <v>85</v>
      </c>
      <c r="P30" s="34">
        <v>23</v>
      </c>
      <c r="Q30" s="44"/>
      <c r="R30" s="34">
        <v>31571</v>
      </c>
      <c r="S30" s="32">
        <v>46086</v>
      </c>
      <c r="T30" s="34">
        <v>16</v>
      </c>
      <c r="U30" s="34">
        <v>0.66666666666666607</v>
      </c>
      <c r="V30" s="34">
        <f t="shared" si="0"/>
        <v>0</v>
      </c>
    </row>
    <row r="31" spans="1:22" s="1" customFormat="1" x14ac:dyDescent="0.25">
      <c r="A31" s="33">
        <v>46085</v>
      </c>
      <c r="B31" s="9" t="s">
        <v>29</v>
      </c>
      <c r="C31" s="9" t="s">
        <v>38</v>
      </c>
      <c r="D31" s="35" t="s">
        <v>53</v>
      </c>
      <c r="E31" s="9" t="s">
        <v>54</v>
      </c>
      <c r="F31" s="35" t="s">
        <v>90</v>
      </c>
      <c r="G31" s="9" t="s">
        <v>56</v>
      </c>
      <c r="H31" s="9" t="s">
        <v>50</v>
      </c>
      <c r="I31" s="35">
        <v>10</v>
      </c>
      <c r="J31" s="9" t="s">
        <v>73</v>
      </c>
      <c r="K31" s="9">
        <v>12</v>
      </c>
      <c r="L31" s="38">
        <v>40</v>
      </c>
      <c r="M31" s="38">
        <v>480</v>
      </c>
      <c r="N31" s="9">
        <v>8</v>
      </c>
      <c r="O31" s="9" t="s">
        <v>85</v>
      </c>
      <c r="P31" s="35">
        <v>12</v>
      </c>
      <c r="Q31" s="43"/>
      <c r="R31" s="35">
        <v>31563</v>
      </c>
      <c r="S31" s="33">
        <v>46085</v>
      </c>
      <c r="T31" s="35">
        <v>8</v>
      </c>
      <c r="U31" s="35">
        <v>0</v>
      </c>
      <c r="V31" s="35">
        <f t="shared" si="0"/>
        <v>0</v>
      </c>
    </row>
    <row r="32" spans="1:22" s="4" customFormat="1" x14ac:dyDescent="0.25">
      <c r="A32" s="32">
        <v>46085</v>
      </c>
      <c r="B32" s="7" t="s">
        <v>29</v>
      </c>
      <c r="C32" s="7" t="s">
        <v>38</v>
      </c>
      <c r="D32" s="34" t="s">
        <v>53</v>
      </c>
      <c r="E32" s="7" t="s">
        <v>54</v>
      </c>
      <c r="F32" s="34" t="s">
        <v>87</v>
      </c>
      <c r="G32" s="7" t="s">
        <v>56</v>
      </c>
      <c r="H32" s="7" t="s">
        <v>51</v>
      </c>
      <c r="I32" s="34">
        <v>11</v>
      </c>
      <c r="J32" s="7" t="s">
        <v>74</v>
      </c>
      <c r="K32" s="7">
        <v>23</v>
      </c>
      <c r="L32" s="37">
        <v>30</v>
      </c>
      <c r="M32" s="37">
        <v>690</v>
      </c>
      <c r="N32" s="7">
        <v>11.5</v>
      </c>
      <c r="O32" s="7" t="s">
        <v>85</v>
      </c>
      <c r="P32" s="34">
        <v>23</v>
      </c>
      <c r="Q32" s="44"/>
      <c r="R32" s="34">
        <v>31559.5</v>
      </c>
      <c r="S32" s="32">
        <v>46085</v>
      </c>
      <c r="T32" s="34">
        <v>11</v>
      </c>
      <c r="U32" s="34">
        <v>-0.5</v>
      </c>
      <c r="V32" s="34">
        <f t="shared" si="0"/>
        <v>0</v>
      </c>
    </row>
    <row r="33" spans="1:22" s="1" customFormat="1" x14ac:dyDescent="0.25">
      <c r="A33" s="33">
        <v>46085</v>
      </c>
      <c r="B33" s="9" t="s">
        <v>29</v>
      </c>
      <c r="C33" s="9" t="s">
        <v>38</v>
      </c>
      <c r="D33" s="35" t="s">
        <v>53</v>
      </c>
      <c r="E33" s="9" t="s">
        <v>54</v>
      </c>
      <c r="F33" s="35" t="s">
        <v>88</v>
      </c>
      <c r="G33" s="9" t="s">
        <v>56</v>
      </c>
      <c r="H33" s="9" t="s">
        <v>48</v>
      </c>
      <c r="I33" s="35">
        <v>11</v>
      </c>
      <c r="J33" s="9" t="s">
        <v>74</v>
      </c>
      <c r="K33" s="9">
        <v>37</v>
      </c>
      <c r="L33" s="38">
        <v>30</v>
      </c>
      <c r="M33" s="38">
        <v>1110</v>
      </c>
      <c r="N33" s="9">
        <v>18.5</v>
      </c>
      <c r="O33" s="9" t="s">
        <v>85</v>
      </c>
      <c r="P33" s="35">
        <v>37</v>
      </c>
      <c r="Q33" s="43"/>
      <c r="R33" s="35">
        <v>31541.5</v>
      </c>
      <c r="S33" s="33">
        <v>46085</v>
      </c>
      <c r="T33" s="35">
        <v>18</v>
      </c>
      <c r="U33" s="35">
        <v>-0.5</v>
      </c>
      <c r="V33" s="35">
        <f t="shared" si="0"/>
        <v>0</v>
      </c>
    </row>
    <row r="34" spans="1:22" s="4" customFormat="1" x14ac:dyDescent="0.25">
      <c r="A34" s="32">
        <v>46085</v>
      </c>
      <c r="B34" s="7" t="s">
        <v>29</v>
      </c>
      <c r="C34" s="7" t="s">
        <v>38</v>
      </c>
      <c r="D34" s="34" t="s">
        <v>53</v>
      </c>
      <c r="E34" s="7" t="s">
        <v>54</v>
      </c>
      <c r="F34" s="34" t="s">
        <v>89</v>
      </c>
      <c r="G34" s="7" t="s">
        <v>56</v>
      </c>
      <c r="H34" s="7" t="s">
        <v>49</v>
      </c>
      <c r="I34" s="34">
        <v>11</v>
      </c>
      <c r="J34" s="7" t="s">
        <v>74</v>
      </c>
      <c r="K34" s="7">
        <v>23</v>
      </c>
      <c r="L34" s="37">
        <v>30</v>
      </c>
      <c r="M34" s="37">
        <v>690</v>
      </c>
      <c r="N34" s="7">
        <v>11.5</v>
      </c>
      <c r="O34" s="7" t="s">
        <v>85</v>
      </c>
      <c r="P34" s="34">
        <v>23</v>
      </c>
      <c r="Q34" s="44"/>
      <c r="R34" s="34">
        <v>31530.5</v>
      </c>
      <c r="S34" s="32">
        <v>46085</v>
      </c>
      <c r="T34" s="34">
        <v>12</v>
      </c>
      <c r="U34" s="34">
        <v>0.5</v>
      </c>
      <c r="V34" s="34">
        <f t="shared" si="0"/>
        <v>0</v>
      </c>
    </row>
    <row r="35" spans="1:22" s="1" customFormat="1" x14ac:dyDescent="0.25">
      <c r="A35" s="33">
        <v>46085</v>
      </c>
      <c r="B35" s="9" t="s">
        <v>29</v>
      </c>
      <c r="C35" s="9" t="s">
        <v>38</v>
      </c>
      <c r="D35" s="35" t="s">
        <v>53</v>
      </c>
      <c r="E35" s="9" t="s">
        <v>54</v>
      </c>
      <c r="F35" s="35" t="s">
        <v>90</v>
      </c>
      <c r="G35" s="9" t="s">
        <v>56</v>
      </c>
      <c r="H35" s="9" t="s">
        <v>50</v>
      </c>
      <c r="I35" s="35">
        <v>11</v>
      </c>
      <c r="J35" s="9" t="s">
        <v>74</v>
      </c>
      <c r="K35" s="9">
        <v>12</v>
      </c>
      <c r="L35" s="38">
        <v>30</v>
      </c>
      <c r="M35" s="38">
        <v>360</v>
      </c>
      <c r="N35" s="9">
        <v>6</v>
      </c>
      <c r="O35" s="9" t="s">
        <v>85</v>
      </c>
      <c r="P35" s="35">
        <v>12</v>
      </c>
      <c r="Q35" s="43"/>
      <c r="R35" s="35">
        <v>31525</v>
      </c>
      <c r="S35" s="33">
        <v>46085</v>
      </c>
      <c r="T35" s="35">
        <v>6</v>
      </c>
      <c r="U35" s="35">
        <v>0</v>
      </c>
      <c r="V35" s="35">
        <f t="shared" si="0"/>
        <v>0</v>
      </c>
    </row>
    <row r="36" spans="1:22" s="4" customFormat="1" x14ac:dyDescent="0.25">
      <c r="A36" s="32">
        <v>46085</v>
      </c>
      <c r="B36" s="7" t="s">
        <v>27</v>
      </c>
      <c r="C36" s="7" t="s">
        <v>36</v>
      </c>
      <c r="D36" s="34" t="s">
        <v>53</v>
      </c>
      <c r="E36" s="7" t="s">
        <v>54</v>
      </c>
      <c r="F36" s="34" t="s">
        <v>87</v>
      </c>
      <c r="G36" s="7" t="s">
        <v>56</v>
      </c>
      <c r="H36" s="7" t="s">
        <v>51</v>
      </c>
      <c r="I36" s="34">
        <v>4</v>
      </c>
      <c r="J36" s="7" t="s">
        <v>43</v>
      </c>
      <c r="K36" s="7">
        <v>23</v>
      </c>
      <c r="L36" s="37">
        <v>90</v>
      </c>
      <c r="M36" s="37">
        <v>2070</v>
      </c>
      <c r="N36" s="7">
        <v>34.5</v>
      </c>
      <c r="O36" s="7" t="s">
        <v>85</v>
      </c>
      <c r="P36" s="34">
        <v>23</v>
      </c>
      <c r="Q36" s="44"/>
      <c r="R36" s="34">
        <v>31645.5</v>
      </c>
      <c r="S36" s="32">
        <v>46085</v>
      </c>
      <c r="T36" s="34">
        <v>35</v>
      </c>
      <c r="U36" s="34">
        <v>0.5</v>
      </c>
      <c r="V36" s="34">
        <f t="shared" si="0"/>
        <v>0</v>
      </c>
    </row>
    <row r="37" spans="1:22" s="1" customFormat="1" x14ac:dyDescent="0.25">
      <c r="A37" s="33">
        <v>46085</v>
      </c>
      <c r="B37" s="9" t="s">
        <v>27</v>
      </c>
      <c r="C37" s="9" t="s">
        <v>36</v>
      </c>
      <c r="D37" s="35" t="s">
        <v>53</v>
      </c>
      <c r="E37" s="9" t="s">
        <v>54</v>
      </c>
      <c r="F37" s="35" t="s">
        <v>88</v>
      </c>
      <c r="G37" s="9" t="s">
        <v>56</v>
      </c>
      <c r="H37" s="9" t="s">
        <v>48</v>
      </c>
      <c r="I37" s="35">
        <v>4</v>
      </c>
      <c r="J37" s="9" t="s">
        <v>43</v>
      </c>
      <c r="K37" s="9">
        <v>37</v>
      </c>
      <c r="L37" s="38">
        <v>90</v>
      </c>
      <c r="M37" s="38">
        <v>3330</v>
      </c>
      <c r="N37" s="9">
        <v>55.5</v>
      </c>
      <c r="O37" s="9" t="s">
        <v>85</v>
      </c>
      <c r="P37" s="35">
        <v>37</v>
      </c>
      <c r="Q37" s="43"/>
      <c r="R37" s="35">
        <v>31590.5</v>
      </c>
      <c r="S37" s="33">
        <v>46085</v>
      </c>
      <c r="T37" s="35">
        <v>56</v>
      </c>
      <c r="U37" s="35">
        <v>0.5</v>
      </c>
      <c r="V37" s="35">
        <f t="shared" si="0"/>
        <v>0</v>
      </c>
    </row>
    <row r="38" spans="1:22" s="4" customFormat="1" x14ac:dyDescent="0.25">
      <c r="A38" s="32">
        <v>46085</v>
      </c>
      <c r="B38" s="7" t="s">
        <v>27</v>
      </c>
      <c r="C38" s="7" t="s">
        <v>36</v>
      </c>
      <c r="D38" s="34" t="s">
        <v>53</v>
      </c>
      <c r="E38" s="7" t="s">
        <v>54</v>
      </c>
      <c r="F38" s="34" t="s">
        <v>89</v>
      </c>
      <c r="G38" s="7" t="s">
        <v>56</v>
      </c>
      <c r="H38" s="7" t="s">
        <v>49</v>
      </c>
      <c r="I38" s="34">
        <v>4</v>
      </c>
      <c r="J38" s="7" t="s">
        <v>43</v>
      </c>
      <c r="K38" s="7">
        <v>23</v>
      </c>
      <c r="L38" s="37">
        <v>90</v>
      </c>
      <c r="M38" s="37">
        <v>2070</v>
      </c>
      <c r="N38" s="7">
        <v>34.5</v>
      </c>
      <c r="O38" s="7" t="s">
        <v>85</v>
      </c>
      <c r="P38" s="34">
        <v>23</v>
      </c>
      <c r="Q38" s="44"/>
      <c r="R38" s="34">
        <v>31556.5</v>
      </c>
      <c r="S38" s="32">
        <v>46085</v>
      </c>
      <c r="T38" s="34">
        <v>34</v>
      </c>
      <c r="U38" s="34">
        <v>-0.5</v>
      </c>
      <c r="V38" s="34">
        <f t="shared" si="0"/>
        <v>0</v>
      </c>
    </row>
    <row r="39" spans="1:22" s="1" customFormat="1" x14ac:dyDescent="0.25">
      <c r="A39" s="33">
        <v>46085</v>
      </c>
      <c r="B39" s="9" t="s">
        <v>27</v>
      </c>
      <c r="C39" s="9" t="s">
        <v>36</v>
      </c>
      <c r="D39" s="35" t="s">
        <v>53</v>
      </c>
      <c r="E39" s="9" t="s">
        <v>54</v>
      </c>
      <c r="F39" s="35" t="s">
        <v>90</v>
      </c>
      <c r="G39" s="9" t="s">
        <v>56</v>
      </c>
      <c r="H39" s="9" t="s">
        <v>50</v>
      </c>
      <c r="I39" s="35">
        <v>4</v>
      </c>
      <c r="J39" s="9" t="s">
        <v>43</v>
      </c>
      <c r="K39" s="9">
        <v>12</v>
      </c>
      <c r="L39" s="38">
        <v>90</v>
      </c>
      <c r="M39" s="38">
        <v>1080</v>
      </c>
      <c r="N39" s="9">
        <v>18</v>
      </c>
      <c r="O39" s="9" t="s">
        <v>85</v>
      </c>
      <c r="P39" s="35">
        <v>12</v>
      </c>
      <c r="Q39" s="43"/>
      <c r="R39" s="35">
        <v>31539</v>
      </c>
      <c r="S39" s="33">
        <v>46085</v>
      </c>
      <c r="T39" s="35">
        <v>18</v>
      </c>
      <c r="U39" s="35">
        <v>0</v>
      </c>
      <c r="V39" s="35">
        <f t="shared" si="0"/>
        <v>0</v>
      </c>
    </row>
    <row r="40" spans="1:22" s="4" customFormat="1" x14ac:dyDescent="0.25">
      <c r="A40" s="32">
        <v>46085</v>
      </c>
      <c r="B40" s="7" t="s">
        <v>27</v>
      </c>
      <c r="C40" s="7" t="s">
        <v>36</v>
      </c>
      <c r="D40" s="34" t="s">
        <v>53</v>
      </c>
      <c r="E40" s="7" t="s">
        <v>54</v>
      </c>
      <c r="F40" s="34" t="s">
        <v>87</v>
      </c>
      <c r="G40" s="7" t="s">
        <v>56</v>
      </c>
      <c r="H40" s="7" t="s">
        <v>51</v>
      </c>
      <c r="I40" s="34">
        <v>5</v>
      </c>
      <c r="J40" s="7" t="s">
        <v>65</v>
      </c>
      <c r="K40" s="7">
        <v>23</v>
      </c>
      <c r="L40" s="37">
        <v>120</v>
      </c>
      <c r="M40" s="37">
        <v>2760</v>
      </c>
      <c r="N40" s="7">
        <v>46</v>
      </c>
      <c r="O40" s="7" t="s">
        <v>85</v>
      </c>
      <c r="P40" s="34">
        <v>23</v>
      </c>
      <c r="Q40" s="44"/>
      <c r="R40" s="34">
        <v>31493</v>
      </c>
      <c r="S40" s="32">
        <v>46085</v>
      </c>
      <c r="T40" s="34">
        <v>46</v>
      </c>
      <c r="U40" s="34">
        <v>0</v>
      </c>
      <c r="V40" s="34">
        <f t="shared" si="0"/>
        <v>0</v>
      </c>
    </row>
    <row r="41" spans="1:22" s="1" customFormat="1" x14ac:dyDescent="0.25">
      <c r="A41" s="33">
        <v>46085</v>
      </c>
      <c r="B41" s="9" t="s">
        <v>27</v>
      </c>
      <c r="C41" s="9" t="s">
        <v>36</v>
      </c>
      <c r="D41" s="35" t="s">
        <v>53</v>
      </c>
      <c r="E41" s="9" t="s">
        <v>54</v>
      </c>
      <c r="F41" s="35" t="s">
        <v>88</v>
      </c>
      <c r="G41" s="9" t="s">
        <v>56</v>
      </c>
      <c r="H41" s="9" t="s">
        <v>48</v>
      </c>
      <c r="I41" s="35">
        <v>5</v>
      </c>
      <c r="J41" s="9" t="s">
        <v>65</v>
      </c>
      <c r="K41" s="9">
        <v>37</v>
      </c>
      <c r="L41" s="38">
        <v>120</v>
      </c>
      <c r="M41" s="38">
        <v>4440</v>
      </c>
      <c r="N41" s="9">
        <v>74</v>
      </c>
      <c r="O41" s="9" t="s">
        <v>85</v>
      </c>
      <c r="P41" s="35">
        <v>37</v>
      </c>
      <c r="Q41" s="43"/>
      <c r="R41" s="35">
        <v>31419</v>
      </c>
      <c r="S41" s="33">
        <v>46085</v>
      </c>
      <c r="T41" s="35">
        <v>74</v>
      </c>
      <c r="U41" s="35">
        <v>0</v>
      </c>
      <c r="V41" s="35">
        <f t="shared" si="0"/>
        <v>0</v>
      </c>
    </row>
    <row r="42" spans="1:22" s="4" customFormat="1" x14ac:dyDescent="0.25">
      <c r="A42" s="32">
        <v>46085</v>
      </c>
      <c r="B42" s="7" t="s">
        <v>27</v>
      </c>
      <c r="C42" s="7" t="s">
        <v>36</v>
      </c>
      <c r="D42" s="34" t="s">
        <v>53</v>
      </c>
      <c r="E42" s="7" t="s">
        <v>54</v>
      </c>
      <c r="F42" s="34" t="s">
        <v>89</v>
      </c>
      <c r="G42" s="7" t="s">
        <v>56</v>
      </c>
      <c r="H42" s="7" t="s">
        <v>49</v>
      </c>
      <c r="I42" s="34">
        <v>5</v>
      </c>
      <c r="J42" s="7" t="s">
        <v>65</v>
      </c>
      <c r="K42" s="7">
        <v>23</v>
      </c>
      <c r="L42" s="37">
        <v>120</v>
      </c>
      <c r="M42" s="37">
        <v>2760</v>
      </c>
      <c r="N42" s="7">
        <v>46</v>
      </c>
      <c r="O42" s="7" t="s">
        <v>85</v>
      </c>
      <c r="P42" s="34">
        <v>23</v>
      </c>
      <c r="Q42" s="44"/>
      <c r="R42" s="34">
        <v>31373</v>
      </c>
      <c r="S42" s="32">
        <v>46085</v>
      </c>
      <c r="T42" s="34">
        <v>46</v>
      </c>
      <c r="U42" s="34">
        <v>0</v>
      </c>
      <c r="V42" s="34">
        <f t="shared" si="0"/>
        <v>0</v>
      </c>
    </row>
    <row r="43" spans="1:22" s="1" customFormat="1" x14ac:dyDescent="0.25">
      <c r="A43" s="33">
        <v>46085</v>
      </c>
      <c r="B43" s="9" t="s">
        <v>27</v>
      </c>
      <c r="C43" s="9" t="s">
        <v>36</v>
      </c>
      <c r="D43" s="35" t="s">
        <v>53</v>
      </c>
      <c r="E43" s="9" t="s">
        <v>54</v>
      </c>
      <c r="F43" s="35" t="s">
        <v>90</v>
      </c>
      <c r="G43" s="9" t="s">
        <v>56</v>
      </c>
      <c r="H43" s="9" t="s">
        <v>50</v>
      </c>
      <c r="I43" s="35">
        <v>5</v>
      </c>
      <c r="J43" s="9" t="s">
        <v>65</v>
      </c>
      <c r="K43" s="9">
        <v>12</v>
      </c>
      <c r="L43" s="38">
        <v>120</v>
      </c>
      <c r="M43" s="38">
        <v>1440</v>
      </c>
      <c r="N43" s="9">
        <v>24</v>
      </c>
      <c r="O43" s="9" t="s">
        <v>85</v>
      </c>
      <c r="P43" s="35">
        <v>12</v>
      </c>
      <c r="Q43" s="43"/>
      <c r="R43" s="35">
        <v>31349</v>
      </c>
      <c r="S43" s="33">
        <v>46085</v>
      </c>
      <c r="T43" s="35">
        <v>24</v>
      </c>
      <c r="U43" s="35">
        <v>0</v>
      </c>
      <c r="V43" s="35">
        <f t="shared" si="0"/>
        <v>0</v>
      </c>
    </row>
    <row r="44" spans="1:22" s="4" customFormat="1" x14ac:dyDescent="0.25">
      <c r="A44" s="32">
        <v>46085</v>
      </c>
      <c r="B44" s="7" t="s">
        <v>30</v>
      </c>
      <c r="C44" s="7" t="s">
        <v>40</v>
      </c>
      <c r="D44" s="34" t="s">
        <v>53</v>
      </c>
      <c r="E44" s="7" t="s">
        <v>54</v>
      </c>
      <c r="F44" s="34" t="s">
        <v>87</v>
      </c>
      <c r="G44" s="7" t="s">
        <v>56</v>
      </c>
      <c r="H44" s="7" t="s">
        <v>51</v>
      </c>
      <c r="I44" s="34">
        <v>12</v>
      </c>
      <c r="J44" s="7" t="s">
        <v>76</v>
      </c>
      <c r="K44" s="7">
        <v>23</v>
      </c>
      <c r="L44" s="37">
        <v>180</v>
      </c>
      <c r="M44" s="37">
        <v>4140</v>
      </c>
      <c r="N44" s="7">
        <v>69</v>
      </c>
      <c r="O44" s="7" t="s">
        <v>85</v>
      </c>
      <c r="P44" s="34">
        <v>23</v>
      </c>
      <c r="Q44" s="44"/>
      <c r="R44" s="34">
        <v>31611</v>
      </c>
      <c r="S44" s="32">
        <v>46085</v>
      </c>
      <c r="T44" s="34">
        <v>75</v>
      </c>
      <c r="U44" s="34">
        <v>6</v>
      </c>
      <c r="V44" s="34">
        <f t="shared" si="0"/>
        <v>0</v>
      </c>
    </row>
    <row r="45" spans="1:22" s="1" customFormat="1" x14ac:dyDescent="0.25">
      <c r="A45" s="33">
        <v>46085</v>
      </c>
      <c r="B45" s="9" t="s">
        <v>30</v>
      </c>
      <c r="C45" s="9" t="s">
        <v>40</v>
      </c>
      <c r="D45" s="35" t="s">
        <v>53</v>
      </c>
      <c r="E45" s="9" t="s">
        <v>54</v>
      </c>
      <c r="F45" s="35" t="s">
        <v>88</v>
      </c>
      <c r="G45" s="9" t="s">
        <v>56</v>
      </c>
      <c r="H45" s="9" t="s">
        <v>48</v>
      </c>
      <c r="I45" s="35">
        <v>12</v>
      </c>
      <c r="J45" s="9" t="s">
        <v>76</v>
      </c>
      <c r="K45" s="9">
        <v>37</v>
      </c>
      <c r="L45" s="38">
        <v>180</v>
      </c>
      <c r="M45" s="38">
        <v>6660</v>
      </c>
      <c r="N45" s="9">
        <v>111</v>
      </c>
      <c r="O45" s="9" t="s">
        <v>85</v>
      </c>
      <c r="P45" s="35">
        <v>37</v>
      </c>
      <c r="Q45" s="43"/>
      <c r="R45" s="35">
        <v>31500</v>
      </c>
      <c r="S45" s="33">
        <v>46085</v>
      </c>
      <c r="T45" s="35">
        <v>120</v>
      </c>
      <c r="U45" s="35">
        <v>9</v>
      </c>
      <c r="V45" s="35">
        <f t="shared" si="0"/>
        <v>0</v>
      </c>
    </row>
    <row r="46" spans="1:22" s="4" customFormat="1" x14ac:dyDescent="0.25">
      <c r="A46" s="32">
        <v>46085</v>
      </c>
      <c r="B46" s="7" t="s">
        <v>30</v>
      </c>
      <c r="C46" s="7" t="s">
        <v>40</v>
      </c>
      <c r="D46" s="34" t="s">
        <v>53</v>
      </c>
      <c r="E46" s="7" t="s">
        <v>54</v>
      </c>
      <c r="F46" s="34" t="s">
        <v>89</v>
      </c>
      <c r="G46" s="7" t="s">
        <v>56</v>
      </c>
      <c r="H46" s="7" t="s">
        <v>49</v>
      </c>
      <c r="I46" s="34">
        <v>12</v>
      </c>
      <c r="J46" s="7" t="s">
        <v>76</v>
      </c>
      <c r="K46" s="7">
        <v>23</v>
      </c>
      <c r="L46" s="37">
        <v>180</v>
      </c>
      <c r="M46" s="37">
        <v>4140</v>
      </c>
      <c r="N46" s="7">
        <v>69</v>
      </c>
      <c r="O46" s="7" t="s">
        <v>85</v>
      </c>
      <c r="P46" s="34">
        <v>23</v>
      </c>
      <c r="Q46" s="44"/>
      <c r="R46" s="34">
        <v>31431</v>
      </c>
      <c r="S46" s="32">
        <v>46085</v>
      </c>
      <c r="T46" s="34">
        <v>75</v>
      </c>
      <c r="U46" s="34">
        <v>6</v>
      </c>
      <c r="V46" s="34">
        <f t="shared" si="0"/>
        <v>0</v>
      </c>
    </row>
    <row r="47" spans="1:22" s="1" customFormat="1" x14ac:dyDescent="0.25">
      <c r="A47" s="33">
        <v>46085</v>
      </c>
      <c r="B47" s="9" t="s">
        <v>30</v>
      </c>
      <c r="C47" s="9" t="s">
        <v>40</v>
      </c>
      <c r="D47" s="35" t="s">
        <v>53</v>
      </c>
      <c r="E47" s="9" t="s">
        <v>54</v>
      </c>
      <c r="F47" s="35" t="s">
        <v>90</v>
      </c>
      <c r="G47" s="9" t="s">
        <v>56</v>
      </c>
      <c r="H47" s="9" t="s">
        <v>50</v>
      </c>
      <c r="I47" s="35">
        <v>12</v>
      </c>
      <c r="J47" s="9" t="s">
        <v>76</v>
      </c>
      <c r="K47" s="9">
        <v>12</v>
      </c>
      <c r="L47" s="38">
        <v>180</v>
      </c>
      <c r="M47" s="38">
        <v>2160</v>
      </c>
      <c r="N47" s="9">
        <v>36</v>
      </c>
      <c r="O47" s="9" t="s">
        <v>85</v>
      </c>
      <c r="P47" s="35">
        <v>12</v>
      </c>
      <c r="Q47" s="43"/>
      <c r="R47" s="35">
        <v>31395</v>
      </c>
      <c r="S47" s="33">
        <v>46085</v>
      </c>
      <c r="T47" s="35">
        <v>40</v>
      </c>
      <c r="U47" s="35">
        <v>4</v>
      </c>
      <c r="V47" s="35">
        <f t="shared" si="0"/>
        <v>0</v>
      </c>
    </row>
    <row r="48" spans="1:22" s="4" customFormat="1" x14ac:dyDescent="0.25">
      <c r="A48" s="32">
        <v>46085</v>
      </c>
      <c r="B48" s="7" t="s">
        <v>30</v>
      </c>
      <c r="C48" s="7" t="s">
        <v>40</v>
      </c>
      <c r="D48" s="34" t="s">
        <v>53</v>
      </c>
      <c r="E48" s="7" t="s">
        <v>54</v>
      </c>
      <c r="F48" s="34" t="s">
        <v>91</v>
      </c>
      <c r="G48" s="7" t="s">
        <v>55</v>
      </c>
      <c r="H48" s="7" t="s">
        <v>48</v>
      </c>
      <c r="I48" s="34">
        <v>2</v>
      </c>
      <c r="J48" s="7" t="s">
        <v>60</v>
      </c>
      <c r="K48" s="7">
        <v>55</v>
      </c>
      <c r="L48" s="37">
        <v>60</v>
      </c>
      <c r="M48" s="37">
        <v>3300</v>
      </c>
      <c r="N48" s="7">
        <v>55</v>
      </c>
      <c r="O48" s="7" t="s">
        <v>85</v>
      </c>
      <c r="P48" s="34">
        <v>55</v>
      </c>
      <c r="Q48" s="44"/>
      <c r="R48" s="34">
        <v>31644</v>
      </c>
      <c r="S48" s="32">
        <v>46085</v>
      </c>
      <c r="T48" s="34">
        <v>45</v>
      </c>
      <c r="U48" s="34">
        <v>-10</v>
      </c>
      <c r="V48" s="34">
        <f t="shared" si="0"/>
        <v>0</v>
      </c>
    </row>
    <row r="49" spans="1:22" s="1" customFormat="1" x14ac:dyDescent="0.25">
      <c r="A49" s="33">
        <v>46085</v>
      </c>
      <c r="B49" s="9" t="s">
        <v>29</v>
      </c>
      <c r="C49" s="9" t="s">
        <v>398</v>
      </c>
      <c r="D49" s="35" t="s">
        <v>53</v>
      </c>
      <c r="E49" s="9" t="s">
        <v>358</v>
      </c>
      <c r="F49" s="35" t="s">
        <v>92</v>
      </c>
      <c r="G49" s="9" t="s">
        <v>55</v>
      </c>
      <c r="H49" s="9" t="s">
        <v>49</v>
      </c>
      <c r="I49" s="35">
        <v>9</v>
      </c>
      <c r="J49" s="9" t="s">
        <v>73</v>
      </c>
      <c r="K49" s="9">
        <v>17</v>
      </c>
      <c r="L49" s="38">
        <v>40</v>
      </c>
      <c r="M49" s="38">
        <v>680</v>
      </c>
      <c r="N49" s="9">
        <v>11.333333333333334</v>
      </c>
      <c r="O49" s="9" t="s">
        <v>85</v>
      </c>
      <c r="P49" s="35">
        <v>36</v>
      </c>
      <c r="Q49" s="43"/>
      <c r="R49" s="35">
        <v>31644</v>
      </c>
      <c r="S49" s="33">
        <v>46086</v>
      </c>
      <c r="T49" s="35">
        <v>45</v>
      </c>
      <c r="U49" s="35">
        <v>33.666666666666664</v>
      </c>
      <c r="V49" s="35">
        <f t="shared" si="0"/>
        <v>-19</v>
      </c>
    </row>
    <row r="50" spans="1:22" s="4" customFormat="1" x14ac:dyDescent="0.25">
      <c r="A50" s="32">
        <v>46085</v>
      </c>
      <c r="B50" s="7" t="s">
        <v>30</v>
      </c>
      <c r="C50" s="7" t="s">
        <v>40</v>
      </c>
      <c r="D50" s="34" t="s">
        <v>53</v>
      </c>
      <c r="E50" s="7" t="s">
        <v>54</v>
      </c>
      <c r="F50" s="34" t="s">
        <v>93</v>
      </c>
      <c r="G50" s="7" t="s">
        <v>55</v>
      </c>
      <c r="H50" s="7" t="s">
        <v>50</v>
      </c>
      <c r="I50" s="34">
        <v>2</v>
      </c>
      <c r="J50" s="7" t="s">
        <v>60</v>
      </c>
      <c r="K50" s="7">
        <v>19</v>
      </c>
      <c r="L50" s="37">
        <v>60</v>
      </c>
      <c r="M50" s="37">
        <v>1140</v>
      </c>
      <c r="N50" s="7">
        <v>19</v>
      </c>
      <c r="O50" s="7" t="s">
        <v>85</v>
      </c>
      <c r="P50" s="34">
        <v>19</v>
      </c>
      <c r="Q50" s="44"/>
      <c r="R50" s="34">
        <v>31661</v>
      </c>
      <c r="S50" s="32">
        <v>46085</v>
      </c>
      <c r="T50" s="34">
        <v>25</v>
      </c>
      <c r="U50" s="34">
        <v>6</v>
      </c>
      <c r="V50" s="34">
        <f t="shared" si="0"/>
        <v>0</v>
      </c>
    </row>
    <row r="51" spans="1:22" s="1" customFormat="1" x14ac:dyDescent="0.25">
      <c r="A51" s="33">
        <v>46085</v>
      </c>
      <c r="B51" s="9" t="s">
        <v>44</v>
      </c>
      <c r="C51" s="9" t="s">
        <v>45</v>
      </c>
      <c r="D51" s="35" t="s">
        <v>53</v>
      </c>
      <c r="E51" s="9" t="s">
        <v>54</v>
      </c>
      <c r="F51" s="35" t="s">
        <v>94</v>
      </c>
      <c r="G51" s="9" t="s">
        <v>55</v>
      </c>
      <c r="H51" s="9" t="s">
        <v>51</v>
      </c>
      <c r="I51" s="35">
        <v>3</v>
      </c>
      <c r="J51" s="9" t="s">
        <v>42</v>
      </c>
      <c r="K51" s="9">
        <v>36</v>
      </c>
      <c r="L51" s="38">
        <v>30</v>
      </c>
      <c r="M51" s="38">
        <v>1080</v>
      </c>
      <c r="N51" s="9">
        <v>18</v>
      </c>
      <c r="O51" s="9" t="s">
        <v>85</v>
      </c>
      <c r="P51" s="35">
        <v>36</v>
      </c>
      <c r="Q51" s="43"/>
      <c r="R51" s="35">
        <v>31662</v>
      </c>
      <c r="S51" s="33">
        <v>46085</v>
      </c>
      <c r="T51" s="35">
        <v>18</v>
      </c>
      <c r="U51" s="35">
        <v>0</v>
      </c>
      <c r="V51" s="35">
        <f t="shared" si="0"/>
        <v>0</v>
      </c>
    </row>
    <row r="52" spans="1:22" s="4" customFormat="1" x14ac:dyDescent="0.25">
      <c r="A52" s="32">
        <v>46085</v>
      </c>
      <c r="B52" s="7" t="s">
        <v>44</v>
      </c>
      <c r="C52" s="7" t="s">
        <v>45</v>
      </c>
      <c r="D52" s="34" t="s">
        <v>53</v>
      </c>
      <c r="E52" s="7" t="s">
        <v>54</v>
      </c>
      <c r="F52" s="34" t="s">
        <v>91</v>
      </c>
      <c r="G52" s="7" t="s">
        <v>55</v>
      </c>
      <c r="H52" s="7" t="s">
        <v>48</v>
      </c>
      <c r="I52" s="34">
        <v>3</v>
      </c>
      <c r="J52" s="7" t="s">
        <v>42</v>
      </c>
      <c r="K52" s="7">
        <v>55</v>
      </c>
      <c r="L52" s="37">
        <v>30</v>
      </c>
      <c r="M52" s="37">
        <v>1650</v>
      </c>
      <c r="N52" s="7">
        <v>27.5</v>
      </c>
      <c r="O52" s="7" t="s">
        <v>85</v>
      </c>
      <c r="P52" s="34">
        <v>55</v>
      </c>
      <c r="Q52" s="44"/>
      <c r="R52" s="34">
        <v>31652.5</v>
      </c>
      <c r="S52" s="32">
        <v>46086</v>
      </c>
      <c r="T52" s="34">
        <v>28</v>
      </c>
      <c r="U52" s="34">
        <v>0.5</v>
      </c>
      <c r="V52" s="34">
        <f t="shared" si="0"/>
        <v>0</v>
      </c>
    </row>
    <row r="53" spans="1:22" s="1" customFormat="1" x14ac:dyDescent="0.25">
      <c r="A53" s="33">
        <v>46085</v>
      </c>
      <c r="B53" s="9" t="s">
        <v>27</v>
      </c>
      <c r="C53" s="9" t="s">
        <v>36</v>
      </c>
      <c r="D53" s="35" t="s">
        <v>53</v>
      </c>
      <c r="E53" s="9" t="s">
        <v>54</v>
      </c>
      <c r="F53" s="35" t="s">
        <v>92</v>
      </c>
      <c r="G53" s="9" t="s">
        <v>55</v>
      </c>
      <c r="H53" s="9" t="s">
        <v>49</v>
      </c>
      <c r="I53" s="35">
        <v>3</v>
      </c>
      <c r="J53" s="9" t="s">
        <v>42</v>
      </c>
      <c r="K53" s="9">
        <v>36</v>
      </c>
      <c r="L53" s="38">
        <v>30</v>
      </c>
      <c r="M53" s="38">
        <v>1080</v>
      </c>
      <c r="N53" s="9">
        <v>18</v>
      </c>
      <c r="O53" s="9" t="s">
        <v>85</v>
      </c>
      <c r="P53" s="35">
        <v>36</v>
      </c>
      <c r="Q53" s="43"/>
      <c r="R53" s="35">
        <v>31662</v>
      </c>
      <c r="S53" s="33">
        <v>46086</v>
      </c>
      <c r="T53" s="35">
        <v>18</v>
      </c>
      <c r="U53" s="35">
        <v>0</v>
      </c>
      <c r="V53" s="35">
        <f t="shared" si="0"/>
        <v>0</v>
      </c>
    </row>
    <row r="54" spans="1:22" s="4" customFormat="1" x14ac:dyDescent="0.25">
      <c r="A54" s="32">
        <v>46085</v>
      </c>
      <c r="B54" s="7" t="s">
        <v>27</v>
      </c>
      <c r="C54" s="7" t="s">
        <v>36</v>
      </c>
      <c r="D54" s="34" t="s">
        <v>53</v>
      </c>
      <c r="E54" s="7" t="s">
        <v>54</v>
      </c>
      <c r="F54" s="34" t="s">
        <v>93</v>
      </c>
      <c r="G54" s="7" t="s">
        <v>55</v>
      </c>
      <c r="H54" s="7" t="s">
        <v>50</v>
      </c>
      <c r="I54" s="34">
        <v>3</v>
      </c>
      <c r="J54" s="7" t="s">
        <v>42</v>
      </c>
      <c r="K54" s="7">
        <v>19</v>
      </c>
      <c r="L54" s="37">
        <v>30</v>
      </c>
      <c r="M54" s="37">
        <v>570</v>
      </c>
      <c r="N54" s="7">
        <v>9.5</v>
      </c>
      <c r="O54" s="7" t="s">
        <v>85</v>
      </c>
      <c r="P54" s="34">
        <v>19</v>
      </c>
      <c r="Q54" s="44"/>
      <c r="R54" s="34">
        <v>31670.5</v>
      </c>
      <c r="S54" s="32">
        <v>46086</v>
      </c>
      <c r="T54" s="34">
        <v>10</v>
      </c>
      <c r="U54" s="34">
        <v>0.5</v>
      </c>
      <c r="V54" s="34">
        <f t="shared" si="0"/>
        <v>0</v>
      </c>
    </row>
    <row r="55" spans="1:22" s="1" customFormat="1" x14ac:dyDescent="0.25">
      <c r="A55" s="33">
        <v>46086</v>
      </c>
      <c r="B55" s="9" t="s">
        <v>44</v>
      </c>
      <c r="C55" s="9" t="s">
        <v>45</v>
      </c>
      <c r="D55" s="35" t="s">
        <v>53</v>
      </c>
      <c r="E55" s="9" t="s">
        <v>54</v>
      </c>
      <c r="F55" s="35" t="s">
        <v>94</v>
      </c>
      <c r="G55" s="9" t="s">
        <v>55</v>
      </c>
      <c r="H55" s="9" t="s">
        <v>51</v>
      </c>
      <c r="I55" s="35">
        <v>8</v>
      </c>
      <c r="J55" s="9" t="s">
        <v>69</v>
      </c>
      <c r="K55" s="9">
        <v>36</v>
      </c>
      <c r="L55" s="38">
        <v>150</v>
      </c>
      <c r="M55" s="38">
        <v>5400</v>
      </c>
      <c r="N55" s="9">
        <v>90</v>
      </c>
      <c r="O55" s="9" t="s">
        <v>85</v>
      </c>
      <c r="P55" s="35">
        <v>36</v>
      </c>
      <c r="Q55" s="43"/>
      <c r="R55" s="35">
        <v>31590</v>
      </c>
      <c r="S55" s="33">
        <v>46086</v>
      </c>
      <c r="T55" s="35">
        <v>90</v>
      </c>
      <c r="U55" s="35">
        <v>0</v>
      </c>
      <c r="V55" s="35">
        <f t="shared" si="0"/>
        <v>0</v>
      </c>
    </row>
    <row r="56" spans="1:22" s="4" customFormat="1" x14ac:dyDescent="0.25">
      <c r="A56" s="32">
        <v>46086</v>
      </c>
      <c r="B56" s="7" t="s">
        <v>44</v>
      </c>
      <c r="C56" s="7" t="s">
        <v>45</v>
      </c>
      <c r="D56" s="34" t="s">
        <v>53</v>
      </c>
      <c r="E56" s="7" t="s">
        <v>54</v>
      </c>
      <c r="F56" s="34" t="s">
        <v>91</v>
      </c>
      <c r="G56" s="7" t="s">
        <v>55</v>
      </c>
      <c r="H56" s="7" t="s">
        <v>48</v>
      </c>
      <c r="I56" s="34">
        <v>8</v>
      </c>
      <c r="J56" s="7" t="s">
        <v>69</v>
      </c>
      <c r="K56" s="7">
        <v>55</v>
      </c>
      <c r="L56" s="37">
        <v>150</v>
      </c>
      <c r="M56" s="37">
        <v>8250</v>
      </c>
      <c r="N56" s="7">
        <v>137.5</v>
      </c>
      <c r="O56" s="7" t="s">
        <v>85</v>
      </c>
      <c r="P56" s="34">
        <v>55</v>
      </c>
      <c r="Q56" s="44"/>
      <c r="R56" s="34">
        <v>31542.5</v>
      </c>
      <c r="S56" s="32">
        <v>46086</v>
      </c>
      <c r="T56" s="34">
        <v>140</v>
      </c>
      <c r="U56" s="34">
        <v>2.5</v>
      </c>
      <c r="V56" s="34">
        <f t="shared" si="0"/>
        <v>0</v>
      </c>
    </row>
    <row r="57" spans="1:22" s="1" customFormat="1" x14ac:dyDescent="0.25">
      <c r="A57" s="33">
        <v>46085</v>
      </c>
      <c r="B57" s="9" t="s">
        <v>27</v>
      </c>
      <c r="C57" s="9" t="s">
        <v>36</v>
      </c>
      <c r="D57" s="35" t="s">
        <v>53</v>
      </c>
      <c r="E57" s="9" t="s">
        <v>54</v>
      </c>
      <c r="F57" s="35" t="s">
        <v>92</v>
      </c>
      <c r="G57" s="9" t="s">
        <v>55</v>
      </c>
      <c r="H57" s="9" t="s">
        <v>49</v>
      </c>
      <c r="I57" s="35">
        <v>8</v>
      </c>
      <c r="J57" s="9" t="s">
        <v>69</v>
      </c>
      <c r="K57" s="9">
        <v>36</v>
      </c>
      <c r="L57" s="38">
        <v>150</v>
      </c>
      <c r="M57" s="38">
        <v>5400</v>
      </c>
      <c r="N57" s="9">
        <v>90</v>
      </c>
      <c r="O57" s="9" t="s">
        <v>85</v>
      </c>
      <c r="P57" s="35">
        <v>36</v>
      </c>
      <c r="Q57" s="43"/>
      <c r="R57" s="35">
        <v>31590</v>
      </c>
      <c r="S57" s="33">
        <v>46086</v>
      </c>
      <c r="T57" s="35">
        <v>90</v>
      </c>
      <c r="U57" s="35">
        <v>0</v>
      </c>
      <c r="V57" s="35">
        <f t="shared" si="0"/>
        <v>0</v>
      </c>
    </row>
    <row r="58" spans="1:22" s="4" customFormat="1" x14ac:dyDescent="0.25">
      <c r="A58" s="32">
        <v>46086</v>
      </c>
      <c r="B58" s="7" t="s">
        <v>27</v>
      </c>
      <c r="C58" s="7" t="s">
        <v>36</v>
      </c>
      <c r="D58" s="34" t="s">
        <v>53</v>
      </c>
      <c r="E58" s="7" t="s">
        <v>54</v>
      </c>
      <c r="F58" s="34" t="s">
        <v>93</v>
      </c>
      <c r="G58" s="7" t="s">
        <v>55</v>
      </c>
      <c r="H58" s="7" t="s">
        <v>50</v>
      </c>
      <c r="I58" s="34">
        <v>8</v>
      </c>
      <c r="J58" s="7" t="s">
        <v>69</v>
      </c>
      <c r="K58" s="7">
        <v>19</v>
      </c>
      <c r="L58" s="37">
        <v>150</v>
      </c>
      <c r="M58" s="37">
        <v>2850</v>
      </c>
      <c r="N58" s="7">
        <v>47.5</v>
      </c>
      <c r="O58" s="7" t="s">
        <v>85</v>
      </c>
      <c r="P58" s="34">
        <v>19</v>
      </c>
      <c r="Q58" s="44"/>
      <c r="R58" s="34">
        <v>31632.5</v>
      </c>
      <c r="S58" s="32">
        <v>46086</v>
      </c>
      <c r="T58" s="34">
        <v>48</v>
      </c>
      <c r="U58" s="34">
        <v>0.5</v>
      </c>
      <c r="V58" s="34">
        <f t="shared" si="0"/>
        <v>0</v>
      </c>
    </row>
    <row r="59" spans="1:22" s="1" customFormat="1" x14ac:dyDescent="0.25">
      <c r="A59" s="33">
        <v>46086</v>
      </c>
      <c r="B59" s="9" t="s">
        <v>44</v>
      </c>
      <c r="C59" s="9" t="s">
        <v>45</v>
      </c>
      <c r="D59" s="35" t="s">
        <v>53</v>
      </c>
      <c r="E59" s="9" t="s">
        <v>54</v>
      </c>
      <c r="F59" s="35" t="s">
        <v>94</v>
      </c>
      <c r="G59" s="9" t="s">
        <v>55</v>
      </c>
      <c r="H59" s="9" t="s">
        <v>51</v>
      </c>
      <c r="I59" s="35">
        <v>4</v>
      </c>
      <c r="J59" s="9" t="s">
        <v>43</v>
      </c>
      <c r="K59" s="9">
        <v>36</v>
      </c>
      <c r="L59" s="38">
        <v>90</v>
      </c>
      <c r="M59" s="38">
        <v>3240</v>
      </c>
      <c r="N59" s="9">
        <v>54</v>
      </c>
      <c r="O59" s="9" t="s">
        <v>85</v>
      </c>
      <c r="P59" s="35">
        <v>36</v>
      </c>
      <c r="Q59" s="43"/>
      <c r="R59" s="35">
        <v>31626</v>
      </c>
      <c r="S59" s="33">
        <v>46086</v>
      </c>
      <c r="T59" s="35">
        <v>54</v>
      </c>
      <c r="U59" s="35">
        <v>0</v>
      </c>
      <c r="V59" s="35">
        <f t="shared" si="0"/>
        <v>0</v>
      </c>
    </row>
    <row r="60" spans="1:22" s="4" customFormat="1" x14ac:dyDescent="0.25">
      <c r="A60" s="32">
        <v>46086</v>
      </c>
      <c r="B60" s="7" t="s">
        <v>44</v>
      </c>
      <c r="C60" s="7" t="s">
        <v>45</v>
      </c>
      <c r="D60" s="34" t="s">
        <v>53</v>
      </c>
      <c r="E60" s="7" t="s">
        <v>54</v>
      </c>
      <c r="F60" s="34" t="s">
        <v>91</v>
      </c>
      <c r="G60" s="7" t="s">
        <v>55</v>
      </c>
      <c r="H60" s="7" t="s">
        <v>48</v>
      </c>
      <c r="I60" s="34">
        <v>4</v>
      </c>
      <c r="J60" s="7" t="s">
        <v>43</v>
      </c>
      <c r="K60" s="7">
        <v>55</v>
      </c>
      <c r="L60" s="37">
        <v>90</v>
      </c>
      <c r="M60" s="37">
        <v>4950</v>
      </c>
      <c r="N60" s="7">
        <v>82.5</v>
      </c>
      <c r="O60" s="7" t="s">
        <v>85</v>
      </c>
      <c r="P60" s="34">
        <v>55</v>
      </c>
      <c r="Q60" s="44"/>
      <c r="R60" s="34">
        <v>31597.5</v>
      </c>
      <c r="S60" s="32">
        <v>46086</v>
      </c>
      <c r="T60" s="34">
        <v>83</v>
      </c>
      <c r="U60" s="34">
        <v>0.5</v>
      </c>
      <c r="V60" s="34">
        <f t="shared" si="0"/>
        <v>0</v>
      </c>
    </row>
    <row r="61" spans="1:22" s="1" customFormat="1" x14ac:dyDescent="0.25">
      <c r="A61" s="33">
        <v>46086</v>
      </c>
      <c r="B61" s="9" t="s">
        <v>27</v>
      </c>
      <c r="C61" s="9" t="s">
        <v>36</v>
      </c>
      <c r="D61" s="35" t="s">
        <v>53</v>
      </c>
      <c r="E61" s="9" t="s">
        <v>54</v>
      </c>
      <c r="F61" s="35" t="s">
        <v>92</v>
      </c>
      <c r="G61" s="9" t="s">
        <v>55</v>
      </c>
      <c r="H61" s="9" t="s">
        <v>49</v>
      </c>
      <c r="I61" s="35">
        <v>4</v>
      </c>
      <c r="J61" s="9" t="s">
        <v>43</v>
      </c>
      <c r="K61" s="9">
        <v>36</v>
      </c>
      <c r="L61" s="38">
        <v>90</v>
      </c>
      <c r="M61" s="38">
        <v>3240</v>
      </c>
      <c r="N61" s="9">
        <v>54</v>
      </c>
      <c r="O61" s="9" t="s">
        <v>85</v>
      </c>
      <c r="P61" s="35">
        <v>36</v>
      </c>
      <c r="Q61" s="43"/>
      <c r="R61" s="35">
        <v>31626</v>
      </c>
      <c r="S61" s="33">
        <v>46086</v>
      </c>
      <c r="T61" s="35">
        <v>54</v>
      </c>
      <c r="U61" s="35">
        <v>0</v>
      </c>
      <c r="V61" s="35">
        <f t="shared" si="0"/>
        <v>0</v>
      </c>
    </row>
    <row r="62" spans="1:22" s="4" customFormat="1" x14ac:dyDescent="0.25">
      <c r="A62" s="32">
        <v>46086</v>
      </c>
      <c r="B62" s="7" t="s">
        <v>27</v>
      </c>
      <c r="C62" s="7" t="s">
        <v>36</v>
      </c>
      <c r="D62" s="34" t="s">
        <v>53</v>
      </c>
      <c r="E62" s="7" t="s">
        <v>54</v>
      </c>
      <c r="F62" s="34" t="s">
        <v>93</v>
      </c>
      <c r="G62" s="7" t="s">
        <v>55</v>
      </c>
      <c r="H62" s="7" t="s">
        <v>50</v>
      </c>
      <c r="I62" s="34">
        <v>4</v>
      </c>
      <c r="J62" s="7" t="s">
        <v>43</v>
      </c>
      <c r="K62" s="7">
        <v>19</v>
      </c>
      <c r="L62" s="37">
        <v>90</v>
      </c>
      <c r="M62" s="37">
        <v>1710</v>
      </c>
      <c r="N62" s="7">
        <v>28.5</v>
      </c>
      <c r="O62" s="7" t="s">
        <v>85</v>
      </c>
      <c r="P62" s="34">
        <v>19</v>
      </c>
      <c r="Q62" s="44"/>
      <c r="R62" s="34">
        <v>31651.5</v>
      </c>
      <c r="S62" s="32">
        <v>46086</v>
      </c>
      <c r="T62" s="34">
        <v>29</v>
      </c>
      <c r="U62" s="34">
        <v>0.5</v>
      </c>
      <c r="V62" s="34">
        <f t="shared" si="0"/>
        <v>0</v>
      </c>
    </row>
    <row r="63" spans="1:22" s="1" customFormat="1" x14ac:dyDescent="0.25">
      <c r="A63" s="33">
        <v>46086</v>
      </c>
      <c r="B63" s="9" t="s">
        <v>44</v>
      </c>
      <c r="C63" s="9" t="s">
        <v>45</v>
      </c>
      <c r="D63" s="35" t="s">
        <v>53</v>
      </c>
      <c r="E63" s="9" t="s">
        <v>54</v>
      </c>
      <c r="F63" s="35" t="s">
        <v>94</v>
      </c>
      <c r="G63" s="9" t="s">
        <v>55</v>
      </c>
      <c r="H63" s="9" t="s">
        <v>51</v>
      </c>
      <c r="I63" s="35">
        <v>5</v>
      </c>
      <c r="J63" s="9" t="s">
        <v>65</v>
      </c>
      <c r="K63" s="9">
        <v>36</v>
      </c>
      <c r="L63" s="38">
        <v>120</v>
      </c>
      <c r="M63" s="38">
        <v>4320</v>
      </c>
      <c r="N63" s="9">
        <v>72</v>
      </c>
      <c r="O63" s="9" t="s">
        <v>85</v>
      </c>
      <c r="P63" s="35">
        <v>36</v>
      </c>
      <c r="Q63" s="43"/>
      <c r="R63" s="35">
        <v>31608</v>
      </c>
      <c r="S63" s="33">
        <v>46086</v>
      </c>
      <c r="T63" s="35">
        <v>90</v>
      </c>
      <c r="U63" s="35">
        <v>18</v>
      </c>
      <c r="V63" s="35">
        <f t="shared" si="0"/>
        <v>0</v>
      </c>
    </row>
    <row r="64" spans="1:22" s="4" customFormat="1" x14ac:dyDescent="0.25">
      <c r="A64" s="32">
        <v>46086</v>
      </c>
      <c r="B64" s="7" t="s">
        <v>44</v>
      </c>
      <c r="C64" s="7" t="s">
        <v>45</v>
      </c>
      <c r="D64" s="34" t="s">
        <v>53</v>
      </c>
      <c r="E64" s="7" t="s">
        <v>54</v>
      </c>
      <c r="F64" s="34" t="s">
        <v>91</v>
      </c>
      <c r="G64" s="7" t="s">
        <v>55</v>
      </c>
      <c r="H64" s="7" t="s">
        <v>48</v>
      </c>
      <c r="I64" s="34">
        <v>5</v>
      </c>
      <c r="J64" s="7" t="s">
        <v>65</v>
      </c>
      <c r="K64" s="7">
        <v>55</v>
      </c>
      <c r="L64" s="37">
        <v>120</v>
      </c>
      <c r="M64" s="37">
        <v>6600</v>
      </c>
      <c r="N64" s="7">
        <v>110</v>
      </c>
      <c r="O64" s="7" t="s">
        <v>85</v>
      </c>
      <c r="P64" s="34">
        <v>55</v>
      </c>
      <c r="Q64" s="44"/>
      <c r="R64" s="34">
        <v>31498</v>
      </c>
      <c r="S64" s="32">
        <v>46086</v>
      </c>
      <c r="T64" s="34">
        <v>150</v>
      </c>
      <c r="U64" s="34">
        <v>40</v>
      </c>
      <c r="V64" s="34">
        <f t="shared" si="0"/>
        <v>0</v>
      </c>
    </row>
    <row r="65" spans="1:22" s="1" customFormat="1" x14ac:dyDescent="0.25">
      <c r="A65" s="33">
        <v>46086</v>
      </c>
      <c r="B65" s="9" t="s">
        <v>27</v>
      </c>
      <c r="C65" s="9" t="s">
        <v>36</v>
      </c>
      <c r="D65" s="35" t="s">
        <v>53</v>
      </c>
      <c r="E65" s="9" t="s">
        <v>54</v>
      </c>
      <c r="F65" s="35" t="s">
        <v>92</v>
      </c>
      <c r="G65" s="9" t="s">
        <v>55</v>
      </c>
      <c r="H65" s="9" t="s">
        <v>49</v>
      </c>
      <c r="I65" s="35">
        <v>5</v>
      </c>
      <c r="J65" s="9" t="s">
        <v>65</v>
      </c>
      <c r="K65" s="9">
        <v>36</v>
      </c>
      <c r="L65" s="38">
        <v>120</v>
      </c>
      <c r="M65" s="38">
        <v>4320</v>
      </c>
      <c r="N65" s="9">
        <v>72</v>
      </c>
      <c r="O65" s="9" t="s">
        <v>85</v>
      </c>
      <c r="P65" s="35">
        <v>36</v>
      </c>
      <c r="Q65" s="43"/>
      <c r="R65" s="35">
        <v>31608</v>
      </c>
      <c r="S65" s="33">
        <v>46086</v>
      </c>
      <c r="T65" s="35">
        <v>72</v>
      </c>
      <c r="U65" s="35">
        <v>0</v>
      </c>
      <c r="V65" s="35">
        <f t="shared" si="0"/>
        <v>0</v>
      </c>
    </row>
    <row r="66" spans="1:22" s="4" customFormat="1" x14ac:dyDescent="0.25">
      <c r="A66" s="32">
        <v>46086</v>
      </c>
      <c r="B66" s="7" t="s">
        <v>27</v>
      </c>
      <c r="C66" s="7" t="s">
        <v>36</v>
      </c>
      <c r="D66" s="34" t="s">
        <v>53</v>
      </c>
      <c r="E66" s="7" t="s">
        <v>54</v>
      </c>
      <c r="F66" s="34" t="s">
        <v>93</v>
      </c>
      <c r="G66" s="7" t="s">
        <v>55</v>
      </c>
      <c r="H66" s="7" t="s">
        <v>50</v>
      </c>
      <c r="I66" s="34">
        <v>5</v>
      </c>
      <c r="J66" s="7" t="s">
        <v>65</v>
      </c>
      <c r="K66" s="7">
        <v>19</v>
      </c>
      <c r="L66" s="37">
        <v>120</v>
      </c>
      <c r="M66" s="37">
        <v>2280</v>
      </c>
      <c r="N66" s="7">
        <v>38</v>
      </c>
      <c r="O66" s="7" t="s">
        <v>85</v>
      </c>
      <c r="P66" s="34">
        <v>19</v>
      </c>
      <c r="Q66" s="44"/>
      <c r="R66" s="34">
        <v>31570</v>
      </c>
      <c r="S66" s="32">
        <v>46086</v>
      </c>
      <c r="T66" s="34">
        <v>38</v>
      </c>
      <c r="U66" s="34">
        <v>0</v>
      </c>
      <c r="V66" s="34">
        <f t="shared" si="0"/>
        <v>0</v>
      </c>
    </row>
    <row r="67" spans="1:22" s="1" customFormat="1" x14ac:dyDescent="0.25">
      <c r="A67" s="33">
        <v>46090</v>
      </c>
      <c r="B67" s="9" t="s">
        <v>29</v>
      </c>
      <c r="C67" s="9" t="s">
        <v>38</v>
      </c>
      <c r="D67" s="35" t="s">
        <v>53</v>
      </c>
      <c r="E67" s="9" t="s">
        <v>54</v>
      </c>
      <c r="F67" s="35" t="s">
        <v>93</v>
      </c>
      <c r="G67" s="9" t="s">
        <v>55</v>
      </c>
      <c r="H67" s="9" t="s">
        <v>50</v>
      </c>
      <c r="I67" s="35">
        <v>10</v>
      </c>
      <c r="J67" s="9" t="s">
        <v>73</v>
      </c>
      <c r="K67" s="9">
        <v>19</v>
      </c>
      <c r="L67" s="38">
        <v>40</v>
      </c>
      <c r="M67" s="38">
        <v>760</v>
      </c>
      <c r="N67" s="9">
        <v>12.666666666666666</v>
      </c>
      <c r="O67" s="9" t="s">
        <v>85</v>
      </c>
      <c r="P67" s="35">
        <v>19</v>
      </c>
      <c r="Q67" s="43"/>
      <c r="R67" s="35">
        <v>31667.333333333332</v>
      </c>
      <c r="S67" s="33">
        <v>46090</v>
      </c>
      <c r="T67" s="35">
        <v>13</v>
      </c>
      <c r="U67" s="35">
        <v>0.33333333333333393</v>
      </c>
      <c r="V67" s="35">
        <f t="shared" si="0"/>
        <v>0</v>
      </c>
    </row>
    <row r="68" spans="1:22" s="4" customFormat="1" x14ac:dyDescent="0.25">
      <c r="A68" s="32">
        <v>46090</v>
      </c>
      <c r="B68" s="7" t="s">
        <v>29</v>
      </c>
      <c r="C68" s="7" t="s">
        <v>38</v>
      </c>
      <c r="D68" s="34" t="s">
        <v>53</v>
      </c>
      <c r="E68" s="7" t="s">
        <v>54</v>
      </c>
      <c r="F68" s="34" t="s">
        <v>93</v>
      </c>
      <c r="G68" s="7" t="s">
        <v>55</v>
      </c>
      <c r="H68" s="7" t="s">
        <v>50</v>
      </c>
      <c r="I68" s="34">
        <v>11</v>
      </c>
      <c r="J68" s="7" t="s">
        <v>74</v>
      </c>
      <c r="K68" s="7">
        <v>19</v>
      </c>
      <c r="L68" s="37">
        <v>30</v>
      </c>
      <c r="M68" s="37">
        <v>570</v>
      </c>
      <c r="N68" s="7">
        <v>9.5</v>
      </c>
      <c r="O68" s="7" t="s">
        <v>85</v>
      </c>
      <c r="P68" s="34">
        <v>19</v>
      </c>
      <c r="Q68" s="44"/>
      <c r="R68" s="34">
        <v>31658.5</v>
      </c>
      <c r="S68" s="32">
        <v>46090</v>
      </c>
      <c r="T68" s="34">
        <v>10</v>
      </c>
      <c r="U68" s="34">
        <v>0.5</v>
      </c>
      <c r="V68" s="34">
        <f t="shared" si="0"/>
        <v>0</v>
      </c>
    </row>
    <row r="69" spans="1:22" s="1" customFormat="1" x14ac:dyDescent="0.25">
      <c r="A69" s="33">
        <v>46090</v>
      </c>
      <c r="B69" s="9" t="s">
        <v>27</v>
      </c>
      <c r="C69" s="9" t="s">
        <v>36</v>
      </c>
      <c r="D69" s="35" t="s">
        <v>53</v>
      </c>
      <c r="E69" s="9" t="s">
        <v>54</v>
      </c>
      <c r="F69" s="35" t="s">
        <v>92</v>
      </c>
      <c r="G69" s="9" t="s">
        <v>55</v>
      </c>
      <c r="H69" s="9" t="s">
        <v>49</v>
      </c>
      <c r="I69" s="35">
        <v>10</v>
      </c>
      <c r="J69" s="9" t="s">
        <v>73</v>
      </c>
      <c r="K69" s="9">
        <v>36</v>
      </c>
      <c r="L69" s="38">
        <v>40</v>
      </c>
      <c r="M69" s="38">
        <v>1440</v>
      </c>
      <c r="N69" s="9">
        <v>24</v>
      </c>
      <c r="O69" s="9" t="s">
        <v>85</v>
      </c>
      <c r="P69" s="35">
        <v>36</v>
      </c>
      <c r="Q69" s="43"/>
      <c r="R69" s="35">
        <v>31656</v>
      </c>
      <c r="S69" s="33">
        <v>46090</v>
      </c>
      <c r="T69" s="35">
        <v>30</v>
      </c>
      <c r="U69" s="35">
        <v>6</v>
      </c>
      <c r="V69" s="35">
        <f t="shared" ref="V69:V132" si="1">+K69-P69</f>
        <v>0</v>
      </c>
    </row>
    <row r="70" spans="1:22" s="4" customFormat="1" x14ac:dyDescent="0.25">
      <c r="A70" s="32">
        <v>46090</v>
      </c>
      <c r="B70" s="7" t="s">
        <v>27</v>
      </c>
      <c r="C70" s="7" t="s">
        <v>36</v>
      </c>
      <c r="D70" s="34" t="s">
        <v>53</v>
      </c>
      <c r="E70" s="7" t="s">
        <v>54</v>
      </c>
      <c r="F70" s="34" t="s">
        <v>92</v>
      </c>
      <c r="G70" s="7" t="s">
        <v>55</v>
      </c>
      <c r="H70" s="7" t="s">
        <v>49</v>
      </c>
      <c r="I70" s="34">
        <v>11</v>
      </c>
      <c r="J70" s="7" t="s">
        <v>74</v>
      </c>
      <c r="K70" s="7">
        <v>36</v>
      </c>
      <c r="L70" s="37">
        <v>30</v>
      </c>
      <c r="M70" s="37">
        <v>1080</v>
      </c>
      <c r="N70" s="7">
        <v>18</v>
      </c>
      <c r="O70" s="7" t="s">
        <v>85</v>
      </c>
      <c r="P70" s="34">
        <v>36</v>
      </c>
      <c r="Q70" s="44"/>
      <c r="R70" s="34">
        <v>31638</v>
      </c>
      <c r="S70" s="32">
        <v>46090</v>
      </c>
      <c r="T70" s="34">
        <v>25</v>
      </c>
      <c r="U70" s="34">
        <v>7</v>
      </c>
      <c r="V70" s="34">
        <f t="shared" si="1"/>
        <v>0</v>
      </c>
    </row>
    <row r="71" spans="1:22" s="1" customFormat="1" x14ac:dyDescent="0.25">
      <c r="A71" s="33">
        <v>46090</v>
      </c>
      <c r="B71" s="9" t="s">
        <v>29</v>
      </c>
      <c r="C71" s="9" t="s">
        <v>38</v>
      </c>
      <c r="D71" s="35" t="s">
        <v>403</v>
      </c>
      <c r="E71" s="9" t="s">
        <v>120</v>
      </c>
      <c r="F71" s="35" t="s">
        <v>155</v>
      </c>
      <c r="G71" s="9" t="s">
        <v>55</v>
      </c>
      <c r="H71" s="9" t="s">
        <v>152</v>
      </c>
      <c r="I71" s="35">
        <v>1</v>
      </c>
      <c r="J71" s="9" t="s">
        <v>127</v>
      </c>
      <c r="K71" s="9">
        <v>30</v>
      </c>
      <c r="L71" s="38">
        <v>65</v>
      </c>
      <c r="M71" s="38">
        <v>1950</v>
      </c>
      <c r="N71" s="9">
        <v>32.5</v>
      </c>
      <c r="O71" s="9" t="s">
        <v>85</v>
      </c>
      <c r="P71" s="35">
        <v>30</v>
      </c>
      <c r="Q71" s="43"/>
      <c r="R71" s="35">
        <v>31626.5</v>
      </c>
      <c r="S71" s="33">
        <v>46182</v>
      </c>
      <c r="T71" s="35">
        <v>35</v>
      </c>
      <c r="U71" s="35">
        <v>2.5</v>
      </c>
      <c r="V71" s="35">
        <f t="shared" si="1"/>
        <v>0</v>
      </c>
    </row>
    <row r="72" spans="1:22" s="4" customFormat="1" x14ac:dyDescent="0.25">
      <c r="A72" s="32">
        <v>46090</v>
      </c>
      <c r="B72" s="7" t="s">
        <v>29</v>
      </c>
      <c r="C72" s="7" t="s">
        <v>38</v>
      </c>
      <c r="D72" s="34" t="s">
        <v>403</v>
      </c>
      <c r="E72" s="7" t="s">
        <v>120</v>
      </c>
      <c r="F72" s="34" t="s">
        <v>205</v>
      </c>
      <c r="G72" s="7" t="s">
        <v>55</v>
      </c>
      <c r="H72" s="7" t="s">
        <v>51</v>
      </c>
      <c r="I72" s="34">
        <v>1</v>
      </c>
      <c r="J72" s="7" t="s">
        <v>127</v>
      </c>
      <c r="K72" s="7">
        <v>62</v>
      </c>
      <c r="L72" s="37">
        <v>65</v>
      </c>
      <c r="M72" s="37">
        <v>4030</v>
      </c>
      <c r="N72" s="7">
        <v>67.166666666666671</v>
      </c>
      <c r="O72" s="7" t="s">
        <v>85</v>
      </c>
      <c r="P72" s="34">
        <v>62</v>
      </c>
      <c r="Q72" s="44"/>
      <c r="R72" s="34">
        <v>31559.833333333332</v>
      </c>
      <c r="S72" s="32">
        <v>46090</v>
      </c>
      <c r="T72" s="34">
        <v>70</v>
      </c>
      <c r="U72" s="34">
        <v>2.8333333333333286</v>
      </c>
      <c r="V72" s="34">
        <f t="shared" si="1"/>
        <v>0</v>
      </c>
    </row>
    <row r="73" spans="1:22" s="1" customFormat="1" x14ac:dyDescent="0.25">
      <c r="A73" s="33">
        <v>46090</v>
      </c>
      <c r="B73" s="9" t="s">
        <v>29</v>
      </c>
      <c r="C73" s="9" t="s">
        <v>38</v>
      </c>
      <c r="D73" s="35" t="s">
        <v>403</v>
      </c>
      <c r="E73" s="9" t="s">
        <v>120</v>
      </c>
      <c r="F73" s="35" t="s">
        <v>206</v>
      </c>
      <c r="G73" s="9" t="s">
        <v>55</v>
      </c>
      <c r="H73" s="9" t="s">
        <v>48</v>
      </c>
      <c r="I73" s="35">
        <v>1</v>
      </c>
      <c r="J73" s="9" t="s">
        <v>127</v>
      </c>
      <c r="K73" s="9">
        <v>60</v>
      </c>
      <c r="L73" s="38">
        <v>65</v>
      </c>
      <c r="M73" s="38">
        <v>3900</v>
      </c>
      <c r="N73" s="9">
        <v>65</v>
      </c>
      <c r="O73" s="9" t="s">
        <v>85</v>
      </c>
      <c r="P73" s="35">
        <v>60</v>
      </c>
      <c r="Q73" s="43"/>
      <c r="R73" s="35">
        <v>31495</v>
      </c>
      <c r="S73" s="33">
        <v>46090</v>
      </c>
      <c r="T73" s="35">
        <v>67</v>
      </c>
      <c r="U73" s="35">
        <v>2</v>
      </c>
      <c r="V73" s="35">
        <f t="shared" si="1"/>
        <v>0</v>
      </c>
    </row>
    <row r="74" spans="1:22" s="4" customFormat="1" x14ac:dyDescent="0.25">
      <c r="A74" s="32">
        <v>46090</v>
      </c>
      <c r="B74" s="7" t="s">
        <v>29</v>
      </c>
      <c r="C74" s="7" t="s">
        <v>38</v>
      </c>
      <c r="D74" s="34" t="s">
        <v>403</v>
      </c>
      <c r="E74" s="7" t="s">
        <v>120</v>
      </c>
      <c r="F74" s="34" t="s">
        <v>207</v>
      </c>
      <c r="G74" s="7" t="s">
        <v>55</v>
      </c>
      <c r="H74" s="7" t="s">
        <v>49</v>
      </c>
      <c r="I74" s="34">
        <v>1</v>
      </c>
      <c r="J74" s="7" t="s">
        <v>127</v>
      </c>
      <c r="K74" s="7">
        <v>30</v>
      </c>
      <c r="L74" s="37">
        <v>65</v>
      </c>
      <c r="M74" s="37">
        <v>1950</v>
      </c>
      <c r="N74" s="7">
        <v>32.5</v>
      </c>
      <c r="O74" s="7" t="s">
        <v>85</v>
      </c>
      <c r="P74" s="34">
        <v>30</v>
      </c>
      <c r="Q74" s="44"/>
      <c r="R74" s="34">
        <v>31462.5</v>
      </c>
      <c r="S74" s="32">
        <v>46090</v>
      </c>
      <c r="T74" s="34">
        <v>35</v>
      </c>
      <c r="U74" s="34">
        <v>2.5</v>
      </c>
      <c r="V74" s="34">
        <f t="shared" si="1"/>
        <v>0</v>
      </c>
    </row>
    <row r="75" spans="1:22" s="1" customFormat="1" x14ac:dyDescent="0.25">
      <c r="A75" s="33">
        <v>46090</v>
      </c>
      <c r="B75" s="9" t="s">
        <v>29</v>
      </c>
      <c r="C75" s="9" t="s">
        <v>38</v>
      </c>
      <c r="D75" s="35" t="s">
        <v>403</v>
      </c>
      <c r="E75" s="9" t="s">
        <v>120</v>
      </c>
      <c r="F75" s="35" t="s">
        <v>208</v>
      </c>
      <c r="G75" s="9" t="s">
        <v>56</v>
      </c>
      <c r="H75" s="9" t="s">
        <v>152</v>
      </c>
      <c r="I75" s="35">
        <v>1</v>
      </c>
      <c r="J75" s="9" t="s">
        <v>127</v>
      </c>
      <c r="K75" s="9">
        <v>45</v>
      </c>
      <c r="L75" s="38">
        <v>65</v>
      </c>
      <c r="M75" s="38">
        <v>2925</v>
      </c>
      <c r="N75" s="9">
        <v>48.75</v>
      </c>
      <c r="O75" s="9" t="s">
        <v>85</v>
      </c>
      <c r="P75" s="35">
        <v>45</v>
      </c>
      <c r="Q75" s="43"/>
      <c r="R75" s="35">
        <v>31414.25</v>
      </c>
      <c r="S75" s="33">
        <v>46090</v>
      </c>
      <c r="T75" s="35">
        <v>50</v>
      </c>
      <c r="U75" s="35">
        <v>1.25</v>
      </c>
      <c r="V75" s="35">
        <f t="shared" si="1"/>
        <v>0</v>
      </c>
    </row>
    <row r="76" spans="1:22" s="4" customFormat="1" x14ac:dyDescent="0.25">
      <c r="A76" s="32">
        <v>46090</v>
      </c>
      <c r="B76" s="7" t="s">
        <v>29</v>
      </c>
      <c r="C76" s="7" t="s">
        <v>38</v>
      </c>
      <c r="D76" s="34" t="s">
        <v>403</v>
      </c>
      <c r="E76" s="7" t="s">
        <v>120</v>
      </c>
      <c r="F76" s="34" t="s">
        <v>155</v>
      </c>
      <c r="G76" s="7" t="s">
        <v>55</v>
      </c>
      <c r="H76" s="7" t="s">
        <v>152</v>
      </c>
      <c r="I76" s="34">
        <v>2</v>
      </c>
      <c r="J76" s="7" t="s">
        <v>129</v>
      </c>
      <c r="K76" s="7">
        <v>30</v>
      </c>
      <c r="L76" s="37">
        <v>40</v>
      </c>
      <c r="M76" s="37">
        <v>1200</v>
      </c>
      <c r="N76" s="7">
        <v>20</v>
      </c>
      <c r="O76" s="7" t="s">
        <v>85</v>
      </c>
      <c r="P76" s="34">
        <v>30</v>
      </c>
      <c r="Q76" s="44"/>
      <c r="R76" s="34">
        <v>31395</v>
      </c>
      <c r="S76" s="32">
        <v>46090</v>
      </c>
      <c r="T76" s="34">
        <v>22</v>
      </c>
      <c r="U76" s="34">
        <v>2</v>
      </c>
      <c r="V76" s="34">
        <f t="shared" si="1"/>
        <v>0</v>
      </c>
    </row>
    <row r="77" spans="1:22" s="1" customFormat="1" x14ac:dyDescent="0.25">
      <c r="A77" s="33">
        <v>46090</v>
      </c>
      <c r="B77" s="9" t="s">
        <v>29</v>
      </c>
      <c r="C77" s="9" t="s">
        <v>38</v>
      </c>
      <c r="D77" s="35" t="s">
        <v>403</v>
      </c>
      <c r="E77" s="9" t="s">
        <v>120</v>
      </c>
      <c r="F77" s="35" t="s">
        <v>205</v>
      </c>
      <c r="G77" s="9" t="s">
        <v>55</v>
      </c>
      <c r="H77" s="9" t="s">
        <v>51</v>
      </c>
      <c r="I77" s="35">
        <v>2</v>
      </c>
      <c r="J77" s="9" t="s">
        <v>129</v>
      </c>
      <c r="K77" s="9">
        <v>62</v>
      </c>
      <c r="L77" s="38">
        <v>40</v>
      </c>
      <c r="M77" s="38">
        <v>2480</v>
      </c>
      <c r="N77" s="9">
        <v>41.333333333333336</v>
      </c>
      <c r="O77" s="9" t="s">
        <v>85</v>
      </c>
      <c r="P77" s="35">
        <v>62</v>
      </c>
      <c r="Q77" s="43"/>
      <c r="R77" s="35">
        <v>31353.666666666668</v>
      </c>
      <c r="S77" s="33">
        <v>46090</v>
      </c>
      <c r="T77" s="35">
        <v>42</v>
      </c>
      <c r="U77" s="35">
        <v>0.6666666666666643</v>
      </c>
      <c r="V77" s="35">
        <f t="shared" si="1"/>
        <v>0</v>
      </c>
    </row>
    <row r="78" spans="1:22" s="4" customFormat="1" x14ac:dyDescent="0.25">
      <c r="A78" s="32">
        <v>46090</v>
      </c>
      <c r="B78" s="7" t="s">
        <v>29</v>
      </c>
      <c r="C78" s="7" t="s">
        <v>38</v>
      </c>
      <c r="D78" s="34" t="s">
        <v>403</v>
      </c>
      <c r="E78" s="7" t="s">
        <v>120</v>
      </c>
      <c r="F78" s="34" t="s">
        <v>206</v>
      </c>
      <c r="G78" s="7" t="s">
        <v>55</v>
      </c>
      <c r="H78" s="7" t="s">
        <v>48</v>
      </c>
      <c r="I78" s="34">
        <v>2</v>
      </c>
      <c r="J78" s="7" t="s">
        <v>129</v>
      </c>
      <c r="K78" s="7">
        <v>60</v>
      </c>
      <c r="L78" s="37">
        <v>40</v>
      </c>
      <c r="M78" s="37">
        <v>2400</v>
      </c>
      <c r="N78" s="7">
        <v>40</v>
      </c>
      <c r="O78" s="7" t="s">
        <v>85</v>
      </c>
      <c r="P78" s="34">
        <v>60</v>
      </c>
      <c r="Q78" s="44"/>
      <c r="R78" s="34">
        <v>31314</v>
      </c>
      <c r="S78" s="32">
        <v>46090</v>
      </c>
      <c r="T78" s="34">
        <v>40</v>
      </c>
      <c r="U78" s="34">
        <v>0</v>
      </c>
      <c r="V78" s="34">
        <f t="shared" si="1"/>
        <v>0</v>
      </c>
    </row>
    <row r="79" spans="1:22" s="1" customFormat="1" x14ac:dyDescent="0.25">
      <c r="A79" s="33">
        <v>46090</v>
      </c>
      <c r="B79" s="9" t="s">
        <v>29</v>
      </c>
      <c r="C79" s="9" t="s">
        <v>38</v>
      </c>
      <c r="D79" s="35" t="s">
        <v>403</v>
      </c>
      <c r="E79" s="9" t="s">
        <v>120</v>
      </c>
      <c r="F79" s="35" t="s">
        <v>207</v>
      </c>
      <c r="G79" s="9" t="s">
        <v>55</v>
      </c>
      <c r="H79" s="9" t="s">
        <v>49</v>
      </c>
      <c r="I79" s="35">
        <v>2</v>
      </c>
      <c r="J79" s="9" t="s">
        <v>129</v>
      </c>
      <c r="K79" s="9">
        <v>30</v>
      </c>
      <c r="L79" s="38">
        <v>40</v>
      </c>
      <c r="M79" s="38">
        <v>1200</v>
      </c>
      <c r="N79" s="9">
        <v>20</v>
      </c>
      <c r="O79" s="9" t="s">
        <v>85</v>
      </c>
      <c r="P79" s="35">
        <v>30</v>
      </c>
      <c r="Q79" s="43"/>
      <c r="R79" s="35">
        <v>31294</v>
      </c>
      <c r="S79" s="33">
        <v>45725</v>
      </c>
      <c r="T79" s="35">
        <v>25</v>
      </c>
      <c r="U79" s="35">
        <v>5</v>
      </c>
      <c r="V79" s="35">
        <f t="shared" si="1"/>
        <v>0</v>
      </c>
    </row>
    <row r="80" spans="1:22" s="4" customFormat="1" x14ac:dyDescent="0.25">
      <c r="A80" s="32">
        <v>46090</v>
      </c>
      <c r="B80" s="7" t="s">
        <v>122</v>
      </c>
      <c r="C80" s="7" t="s">
        <v>212</v>
      </c>
      <c r="D80" s="34" t="s">
        <v>403</v>
      </c>
      <c r="E80" s="7" t="s">
        <v>120</v>
      </c>
      <c r="F80" s="34" t="s">
        <v>155</v>
      </c>
      <c r="G80" s="7" t="s">
        <v>55</v>
      </c>
      <c r="H80" s="7" t="s">
        <v>152</v>
      </c>
      <c r="I80" s="34">
        <v>4</v>
      </c>
      <c r="J80" s="7" t="s">
        <v>133</v>
      </c>
      <c r="K80" s="7">
        <v>30</v>
      </c>
      <c r="L80" s="37">
        <v>30</v>
      </c>
      <c r="M80" s="37">
        <v>900</v>
      </c>
      <c r="N80" s="7">
        <v>15</v>
      </c>
      <c r="O80" s="7" t="s">
        <v>85</v>
      </c>
      <c r="P80" s="34">
        <v>30</v>
      </c>
      <c r="Q80" s="44"/>
      <c r="R80" s="34">
        <v>31665</v>
      </c>
      <c r="S80" s="32">
        <v>46090</v>
      </c>
      <c r="T80" s="34">
        <v>20</v>
      </c>
      <c r="U80" s="34">
        <v>5</v>
      </c>
      <c r="V80" s="34">
        <f t="shared" si="1"/>
        <v>0</v>
      </c>
    </row>
    <row r="81" spans="1:22" s="1" customFormat="1" x14ac:dyDescent="0.25">
      <c r="A81" s="33">
        <v>46090</v>
      </c>
      <c r="B81" s="9" t="s">
        <v>122</v>
      </c>
      <c r="C81" s="9" t="s">
        <v>212</v>
      </c>
      <c r="D81" s="35" t="s">
        <v>403</v>
      </c>
      <c r="E81" s="9" t="s">
        <v>120</v>
      </c>
      <c r="F81" s="35" t="s">
        <v>205</v>
      </c>
      <c r="G81" s="9" t="s">
        <v>55</v>
      </c>
      <c r="H81" s="9" t="s">
        <v>51</v>
      </c>
      <c r="I81" s="35">
        <v>4</v>
      </c>
      <c r="J81" s="9" t="s">
        <v>133</v>
      </c>
      <c r="K81" s="9">
        <v>62</v>
      </c>
      <c r="L81" s="38">
        <v>30</v>
      </c>
      <c r="M81" s="38">
        <v>1860</v>
      </c>
      <c r="N81" s="9">
        <v>31</v>
      </c>
      <c r="O81" s="9" t="s">
        <v>85</v>
      </c>
      <c r="P81" s="35">
        <v>62</v>
      </c>
      <c r="Q81" s="43"/>
      <c r="R81" s="35">
        <v>31634</v>
      </c>
      <c r="S81" s="33">
        <v>46090</v>
      </c>
      <c r="T81" s="35">
        <v>35</v>
      </c>
      <c r="U81" s="35">
        <v>4</v>
      </c>
      <c r="V81" s="35">
        <f t="shared" si="1"/>
        <v>0</v>
      </c>
    </row>
    <row r="82" spans="1:22" s="4" customFormat="1" x14ac:dyDescent="0.25">
      <c r="A82" s="32">
        <v>46090</v>
      </c>
      <c r="B82" s="7" t="s">
        <v>122</v>
      </c>
      <c r="C82" s="7" t="s">
        <v>212</v>
      </c>
      <c r="D82" s="34" t="s">
        <v>403</v>
      </c>
      <c r="E82" s="7" t="s">
        <v>120</v>
      </c>
      <c r="F82" s="34" t="s">
        <v>206</v>
      </c>
      <c r="G82" s="7" t="s">
        <v>55</v>
      </c>
      <c r="H82" s="7" t="s">
        <v>48</v>
      </c>
      <c r="I82" s="34">
        <v>4</v>
      </c>
      <c r="J82" s="7" t="s">
        <v>133</v>
      </c>
      <c r="K82" s="7">
        <v>60</v>
      </c>
      <c r="L82" s="37">
        <v>30</v>
      </c>
      <c r="M82" s="37">
        <v>1800</v>
      </c>
      <c r="N82" s="7">
        <v>30</v>
      </c>
      <c r="O82" s="7" t="s">
        <v>85</v>
      </c>
      <c r="P82" s="34">
        <v>60</v>
      </c>
      <c r="Q82" s="44"/>
      <c r="R82" s="34">
        <v>31604</v>
      </c>
      <c r="S82" s="32">
        <v>46090</v>
      </c>
      <c r="T82" s="34">
        <v>30</v>
      </c>
      <c r="U82" s="34">
        <v>0</v>
      </c>
      <c r="V82" s="34">
        <f t="shared" si="1"/>
        <v>0</v>
      </c>
    </row>
    <row r="83" spans="1:22" s="1" customFormat="1" x14ac:dyDescent="0.25">
      <c r="A83" s="33">
        <v>46090</v>
      </c>
      <c r="B83" s="9" t="s">
        <v>122</v>
      </c>
      <c r="C83" s="9" t="s">
        <v>212</v>
      </c>
      <c r="D83" s="35" t="s">
        <v>403</v>
      </c>
      <c r="E83" s="9" t="s">
        <v>120</v>
      </c>
      <c r="F83" s="35" t="s">
        <v>207</v>
      </c>
      <c r="G83" s="9" t="s">
        <v>55</v>
      </c>
      <c r="H83" s="9" t="s">
        <v>49</v>
      </c>
      <c r="I83" s="35">
        <v>4</v>
      </c>
      <c r="J83" s="9" t="s">
        <v>133</v>
      </c>
      <c r="K83" s="9">
        <v>30</v>
      </c>
      <c r="L83" s="38">
        <v>30</v>
      </c>
      <c r="M83" s="38">
        <v>900</v>
      </c>
      <c r="N83" s="9">
        <v>15</v>
      </c>
      <c r="O83" s="9" t="s">
        <v>85</v>
      </c>
      <c r="P83" s="35">
        <v>30</v>
      </c>
      <c r="Q83" s="43"/>
      <c r="R83" s="35">
        <v>31589</v>
      </c>
      <c r="S83" s="33">
        <v>46090</v>
      </c>
      <c r="T83" s="35">
        <v>20</v>
      </c>
      <c r="U83" s="35">
        <v>5</v>
      </c>
      <c r="V83" s="35">
        <f t="shared" si="1"/>
        <v>0</v>
      </c>
    </row>
    <row r="84" spans="1:22" s="4" customFormat="1" x14ac:dyDescent="0.25">
      <c r="A84" s="32">
        <v>46090</v>
      </c>
      <c r="B84" s="7" t="s">
        <v>122</v>
      </c>
      <c r="C84" s="7" t="s">
        <v>212</v>
      </c>
      <c r="D84" s="34" t="s">
        <v>403</v>
      </c>
      <c r="E84" s="7" t="s">
        <v>120</v>
      </c>
      <c r="F84" s="34" t="s">
        <v>208</v>
      </c>
      <c r="G84" s="7" t="s">
        <v>56</v>
      </c>
      <c r="H84" s="7" t="s">
        <v>152</v>
      </c>
      <c r="I84" s="34">
        <v>4</v>
      </c>
      <c r="J84" s="7" t="s">
        <v>133</v>
      </c>
      <c r="K84" s="7">
        <v>45</v>
      </c>
      <c r="L84" s="37">
        <v>30</v>
      </c>
      <c r="M84" s="37">
        <v>1350</v>
      </c>
      <c r="N84" s="7">
        <v>22.5</v>
      </c>
      <c r="O84" s="7" t="s">
        <v>85</v>
      </c>
      <c r="P84" s="34">
        <v>45</v>
      </c>
      <c r="Q84" s="44"/>
      <c r="R84" s="34">
        <v>31566.5</v>
      </c>
      <c r="S84" s="32">
        <v>46090</v>
      </c>
      <c r="T84" s="34">
        <v>25</v>
      </c>
      <c r="U84" s="34">
        <v>2.5</v>
      </c>
      <c r="V84" s="34">
        <f t="shared" si="1"/>
        <v>0</v>
      </c>
    </row>
    <row r="85" spans="1:22" s="1" customFormat="1" x14ac:dyDescent="0.25">
      <c r="A85" s="33">
        <v>46090</v>
      </c>
      <c r="B85" s="9" t="s">
        <v>122</v>
      </c>
      <c r="C85" s="9" t="s">
        <v>212</v>
      </c>
      <c r="D85" s="35" t="s">
        <v>403</v>
      </c>
      <c r="E85" s="9" t="s">
        <v>120</v>
      </c>
      <c r="F85" s="35" t="s">
        <v>155</v>
      </c>
      <c r="G85" s="9" t="s">
        <v>55</v>
      </c>
      <c r="H85" s="9" t="s">
        <v>152</v>
      </c>
      <c r="I85" s="35">
        <v>7</v>
      </c>
      <c r="J85" s="9" t="s">
        <v>139</v>
      </c>
      <c r="K85" s="9">
        <v>30</v>
      </c>
      <c r="L85" s="38">
        <v>60</v>
      </c>
      <c r="M85" s="38">
        <v>1800</v>
      </c>
      <c r="N85" s="9">
        <v>30</v>
      </c>
      <c r="O85" s="9" t="s">
        <v>85</v>
      </c>
      <c r="P85" s="35">
        <v>30</v>
      </c>
      <c r="Q85" s="43"/>
      <c r="R85" s="35">
        <v>31537</v>
      </c>
      <c r="S85" s="33">
        <v>46090</v>
      </c>
      <c r="T85" s="35">
        <v>40</v>
      </c>
      <c r="U85" s="35">
        <v>10</v>
      </c>
      <c r="V85" s="35">
        <f t="shared" si="1"/>
        <v>0</v>
      </c>
    </row>
    <row r="86" spans="1:22" s="4" customFormat="1" x14ac:dyDescent="0.25">
      <c r="A86" s="32">
        <v>46090</v>
      </c>
      <c r="B86" s="7" t="s">
        <v>122</v>
      </c>
      <c r="C86" s="7" t="s">
        <v>212</v>
      </c>
      <c r="D86" s="34" t="s">
        <v>403</v>
      </c>
      <c r="E86" s="7" t="s">
        <v>120</v>
      </c>
      <c r="F86" s="34" t="s">
        <v>205</v>
      </c>
      <c r="G86" s="7" t="s">
        <v>55</v>
      </c>
      <c r="H86" s="7" t="s">
        <v>51</v>
      </c>
      <c r="I86" s="34">
        <v>7</v>
      </c>
      <c r="J86" s="7" t="s">
        <v>139</v>
      </c>
      <c r="K86" s="7">
        <v>62</v>
      </c>
      <c r="L86" s="37">
        <v>60</v>
      </c>
      <c r="M86" s="37">
        <v>3720</v>
      </c>
      <c r="N86" s="7">
        <v>62</v>
      </c>
      <c r="O86" s="7" t="s">
        <v>85</v>
      </c>
      <c r="P86" s="34">
        <v>62</v>
      </c>
      <c r="Q86" s="44"/>
      <c r="R86" s="34">
        <v>31475</v>
      </c>
      <c r="S86" s="32">
        <v>46090</v>
      </c>
      <c r="T86" s="34">
        <v>65</v>
      </c>
      <c r="U86" s="34">
        <v>3</v>
      </c>
      <c r="V86" s="34">
        <f t="shared" si="1"/>
        <v>0</v>
      </c>
    </row>
    <row r="87" spans="1:22" s="1" customFormat="1" x14ac:dyDescent="0.25">
      <c r="A87" s="33">
        <v>46090</v>
      </c>
      <c r="B87" s="9" t="s">
        <v>122</v>
      </c>
      <c r="C87" s="9" t="s">
        <v>212</v>
      </c>
      <c r="D87" s="35" t="s">
        <v>403</v>
      </c>
      <c r="E87" s="9" t="s">
        <v>120</v>
      </c>
      <c r="F87" s="35" t="s">
        <v>206</v>
      </c>
      <c r="G87" s="9" t="s">
        <v>55</v>
      </c>
      <c r="H87" s="9" t="s">
        <v>48</v>
      </c>
      <c r="I87" s="35">
        <v>7</v>
      </c>
      <c r="J87" s="9" t="s">
        <v>139</v>
      </c>
      <c r="K87" s="9">
        <v>60</v>
      </c>
      <c r="L87" s="38">
        <v>60</v>
      </c>
      <c r="M87" s="38">
        <v>3600</v>
      </c>
      <c r="N87" s="9">
        <v>60</v>
      </c>
      <c r="O87" s="9" t="s">
        <v>85</v>
      </c>
      <c r="P87" s="35">
        <v>60</v>
      </c>
      <c r="Q87" s="43"/>
      <c r="R87" s="35">
        <v>31415</v>
      </c>
      <c r="S87" s="33">
        <v>46090</v>
      </c>
      <c r="T87" s="35">
        <v>60</v>
      </c>
      <c r="U87" s="35">
        <v>0</v>
      </c>
      <c r="V87" s="35">
        <f t="shared" si="1"/>
        <v>0</v>
      </c>
    </row>
    <row r="88" spans="1:22" s="4" customFormat="1" x14ac:dyDescent="0.25">
      <c r="A88" s="32">
        <v>46090</v>
      </c>
      <c r="B88" s="7" t="s">
        <v>122</v>
      </c>
      <c r="C88" s="7" t="s">
        <v>212</v>
      </c>
      <c r="D88" s="34" t="s">
        <v>403</v>
      </c>
      <c r="E88" s="7" t="s">
        <v>120</v>
      </c>
      <c r="F88" s="34" t="s">
        <v>207</v>
      </c>
      <c r="G88" s="7" t="s">
        <v>55</v>
      </c>
      <c r="H88" s="7" t="s">
        <v>49</v>
      </c>
      <c r="I88" s="34">
        <v>7</v>
      </c>
      <c r="J88" s="7" t="s">
        <v>139</v>
      </c>
      <c r="K88" s="7">
        <v>30</v>
      </c>
      <c r="L88" s="37">
        <v>60</v>
      </c>
      <c r="M88" s="37">
        <v>1800</v>
      </c>
      <c r="N88" s="7">
        <v>30</v>
      </c>
      <c r="O88" s="7" t="s">
        <v>85</v>
      </c>
      <c r="P88" s="34">
        <v>30</v>
      </c>
      <c r="Q88" s="44"/>
      <c r="R88" s="34">
        <v>31385</v>
      </c>
      <c r="S88" s="32">
        <v>46090</v>
      </c>
      <c r="T88" s="34">
        <v>35</v>
      </c>
      <c r="U88" s="34">
        <v>5</v>
      </c>
      <c r="V88" s="34">
        <f t="shared" si="1"/>
        <v>0</v>
      </c>
    </row>
    <row r="89" spans="1:22" s="1" customFormat="1" x14ac:dyDescent="0.25">
      <c r="A89" s="33">
        <v>46090</v>
      </c>
      <c r="B89" s="9" t="s">
        <v>122</v>
      </c>
      <c r="C89" s="9" t="s">
        <v>212</v>
      </c>
      <c r="D89" s="35" t="s">
        <v>403</v>
      </c>
      <c r="E89" s="9" t="s">
        <v>120</v>
      </c>
      <c r="F89" s="35" t="s">
        <v>208</v>
      </c>
      <c r="G89" s="9" t="s">
        <v>56</v>
      </c>
      <c r="H89" s="9" t="s">
        <v>152</v>
      </c>
      <c r="I89" s="35">
        <v>7</v>
      </c>
      <c r="J89" s="9" t="s">
        <v>139</v>
      </c>
      <c r="K89" s="9">
        <v>30</v>
      </c>
      <c r="L89" s="38">
        <v>60</v>
      </c>
      <c r="M89" s="38">
        <v>1800</v>
      </c>
      <c r="N89" s="9">
        <v>30</v>
      </c>
      <c r="O89" s="9" t="s">
        <v>85</v>
      </c>
      <c r="P89" s="35">
        <v>30</v>
      </c>
      <c r="Q89" s="43"/>
      <c r="R89" s="35">
        <v>31355</v>
      </c>
      <c r="S89" s="33">
        <v>46090</v>
      </c>
      <c r="T89" s="35">
        <v>35</v>
      </c>
      <c r="U89" s="35">
        <v>5</v>
      </c>
      <c r="V89" s="35">
        <f t="shared" si="1"/>
        <v>0</v>
      </c>
    </row>
    <row r="90" spans="1:22" s="4" customFormat="1" x14ac:dyDescent="0.25">
      <c r="A90" s="32">
        <v>46090</v>
      </c>
      <c r="B90" s="7" t="s">
        <v>27</v>
      </c>
      <c r="C90" s="7" t="s">
        <v>36</v>
      </c>
      <c r="D90" s="34" t="s">
        <v>403</v>
      </c>
      <c r="E90" s="7" t="s">
        <v>120</v>
      </c>
      <c r="F90" s="34" t="s">
        <v>155</v>
      </c>
      <c r="G90" s="7" t="s">
        <v>55</v>
      </c>
      <c r="H90" s="7" t="s">
        <v>152</v>
      </c>
      <c r="I90" s="34">
        <v>3</v>
      </c>
      <c r="J90" s="7" t="s">
        <v>131</v>
      </c>
      <c r="K90" s="7">
        <v>30</v>
      </c>
      <c r="L90" s="37">
        <v>45</v>
      </c>
      <c r="M90" s="37">
        <v>1350</v>
      </c>
      <c r="N90" s="7">
        <v>22.5</v>
      </c>
      <c r="O90" s="7" t="s">
        <v>85</v>
      </c>
      <c r="P90" s="34">
        <v>30</v>
      </c>
      <c r="Q90" s="44"/>
      <c r="R90" s="34">
        <v>31615.5</v>
      </c>
      <c r="S90" s="32">
        <v>46090</v>
      </c>
      <c r="T90" s="34">
        <v>23</v>
      </c>
      <c r="U90" s="34">
        <v>0.5</v>
      </c>
      <c r="V90" s="34">
        <f t="shared" si="1"/>
        <v>0</v>
      </c>
    </row>
    <row r="91" spans="1:22" s="1" customFormat="1" x14ac:dyDescent="0.25">
      <c r="A91" s="33">
        <v>46090</v>
      </c>
      <c r="B91" s="9" t="s">
        <v>27</v>
      </c>
      <c r="C91" s="9" t="s">
        <v>36</v>
      </c>
      <c r="D91" s="35" t="s">
        <v>403</v>
      </c>
      <c r="E91" s="9" t="s">
        <v>120</v>
      </c>
      <c r="F91" s="35" t="s">
        <v>205</v>
      </c>
      <c r="G91" s="9" t="s">
        <v>55</v>
      </c>
      <c r="H91" s="9" t="s">
        <v>51</v>
      </c>
      <c r="I91" s="35">
        <v>3</v>
      </c>
      <c r="J91" s="9" t="s">
        <v>131</v>
      </c>
      <c r="K91" s="9">
        <v>62</v>
      </c>
      <c r="L91" s="38">
        <v>45</v>
      </c>
      <c r="M91" s="38">
        <v>2790</v>
      </c>
      <c r="N91" s="9">
        <v>46.5</v>
      </c>
      <c r="O91" s="9" t="s">
        <v>85</v>
      </c>
      <c r="P91" s="35">
        <v>62</v>
      </c>
      <c r="Q91" s="43"/>
      <c r="R91" s="35">
        <v>31569.5</v>
      </c>
      <c r="S91" s="33">
        <v>46090</v>
      </c>
      <c r="T91" s="35">
        <v>47</v>
      </c>
      <c r="U91" s="35">
        <v>0.5</v>
      </c>
      <c r="V91" s="35">
        <f t="shared" si="1"/>
        <v>0</v>
      </c>
    </row>
    <row r="92" spans="1:22" s="4" customFormat="1" x14ac:dyDescent="0.25">
      <c r="A92" s="32">
        <v>46090</v>
      </c>
      <c r="B92" s="7" t="s">
        <v>27</v>
      </c>
      <c r="C92" s="7" t="s">
        <v>36</v>
      </c>
      <c r="D92" s="34" t="s">
        <v>403</v>
      </c>
      <c r="E92" s="7" t="s">
        <v>120</v>
      </c>
      <c r="F92" s="34" t="s">
        <v>206</v>
      </c>
      <c r="G92" s="7" t="s">
        <v>55</v>
      </c>
      <c r="H92" s="7" t="s">
        <v>48</v>
      </c>
      <c r="I92" s="34">
        <v>3</v>
      </c>
      <c r="J92" s="7" t="s">
        <v>131</v>
      </c>
      <c r="K92" s="7">
        <v>60</v>
      </c>
      <c r="L92" s="37">
        <v>45</v>
      </c>
      <c r="M92" s="37">
        <v>2700</v>
      </c>
      <c r="N92" s="7">
        <v>45</v>
      </c>
      <c r="O92" s="7" t="s">
        <v>85</v>
      </c>
      <c r="P92" s="34">
        <v>60</v>
      </c>
      <c r="Q92" s="44"/>
      <c r="R92" s="34">
        <v>31525</v>
      </c>
      <c r="S92" s="32">
        <v>46090</v>
      </c>
      <c r="T92" s="34">
        <v>50</v>
      </c>
      <c r="U92" s="34">
        <v>5</v>
      </c>
      <c r="V92" s="34">
        <f t="shared" si="1"/>
        <v>0</v>
      </c>
    </row>
    <row r="93" spans="1:22" s="1" customFormat="1" x14ac:dyDescent="0.25">
      <c r="A93" s="33">
        <v>46090</v>
      </c>
      <c r="B93" s="9" t="s">
        <v>27</v>
      </c>
      <c r="C93" s="9" t="s">
        <v>36</v>
      </c>
      <c r="D93" s="35" t="s">
        <v>403</v>
      </c>
      <c r="E93" s="9" t="s">
        <v>120</v>
      </c>
      <c r="F93" s="35" t="s">
        <v>207</v>
      </c>
      <c r="G93" s="9" t="s">
        <v>55</v>
      </c>
      <c r="H93" s="9" t="s">
        <v>49</v>
      </c>
      <c r="I93" s="35">
        <v>3</v>
      </c>
      <c r="J93" s="9" t="s">
        <v>131</v>
      </c>
      <c r="K93" s="9">
        <v>30</v>
      </c>
      <c r="L93" s="38">
        <v>45</v>
      </c>
      <c r="M93" s="38">
        <v>1350</v>
      </c>
      <c r="N93" s="9">
        <v>22.5</v>
      </c>
      <c r="O93" s="9" t="s">
        <v>85</v>
      </c>
      <c r="P93" s="35">
        <v>30</v>
      </c>
      <c r="Q93" s="43"/>
      <c r="R93" s="35">
        <v>31502.5</v>
      </c>
      <c r="S93" s="33">
        <v>46090</v>
      </c>
      <c r="T93" s="35">
        <v>23</v>
      </c>
      <c r="U93" s="35">
        <v>0.5</v>
      </c>
      <c r="V93" s="35">
        <f t="shared" si="1"/>
        <v>0</v>
      </c>
    </row>
    <row r="94" spans="1:22" s="4" customFormat="1" x14ac:dyDescent="0.25">
      <c r="A94" s="32">
        <v>46090</v>
      </c>
      <c r="B94" s="7" t="s">
        <v>27</v>
      </c>
      <c r="C94" s="7" t="s">
        <v>36</v>
      </c>
      <c r="D94" s="34" t="s">
        <v>403</v>
      </c>
      <c r="E94" s="7" t="s">
        <v>120</v>
      </c>
      <c r="F94" s="34" t="s">
        <v>155</v>
      </c>
      <c r="G94" s="7" t="s">
        <v>55</v>
      </c>
      <c r="H94" s="7" t="s">
        <v>152</v>
      </c>
      <c r="I94" s="34">
        <v>5</v>
      </c>
      <c r="J94" s="7" t="s">
        <v>135</v>
      </c>
      <c r="K94" s="7">
        <v>30</v>
      </c>
      <c r="L94" s="37">
        <v>150</v>
      </c>
      <c r="M94" s="37">
        <v>4500</v>
      </c>
      <c r="N94" s="7">
        <v>75</v>
      </c>
      <c r="O94" s="7" t="s">
        <v>85</v>
      </c>
      <c r="P94" s="34">
        <v>30</v>
      </c>
      <c r="Q94" s="44"/>
      <c r="R94" s="34">
        <v>31428</v>
      </c>
      <c r="S94" s="32">
        <v>46090</v>
      </c>
      <c r="T94" s="34">
        <v>80</v>
      </c>
      <c r="U94" s="34">
        <v>5</v>
      </c>
      <c r="V94" s="34">
        <f t="shared" si="1"/>
        <v>0</v>
      </c>
    </row>
    <row r="95" spans="1:22" s="1" customFormat="1" x14ac:dyDescent="0.25">
      <c r="A95" s="33">
        <v>46090</v>
      </c>
      <c r="B95" s="9" t="s">
        <v>27</v>
      </c>
      <c r="C95" s="9" t="s">
        <v>36</v>
      </c>
      <c r="D95" s="35" t="s">
        <v>403</v>
      </c>
      <c r="E95" s="9" t="s">
        <v>120</v>
      </c>
      <c r="F95" s="35" t="s">
        <v>205</v>
      </c>
      <c r="G95" s="9" t="s">
        <v>55</v>
      </c>
      <c r="H95" s="9" t="s">
        <v>51</v>
      </c>
      <c r="I95" s="35">
        <v>5</v>
      </c>
      <c r="J95" s="9" t="s">
        <v>135</v>
      </c>
      <c r="K95" s="9">
        <v>62</v>
      </c>
      <c r="L95" s="38">
        <v>150</v>
      </c>
      <c r="M95" s="38">
        <v>9300</v>
      </c>
      <c r="N95" s="9">
        <v>155</v>
      </c>
      <c r="O95" s="9" t="s">
        <v>85</v>
      </c>
      <c r="P95" s="35">
        <v>62</v>
      </c>
      <c r="Q95" s="43"/>
      <c r="R95" s="35">
        <v>31273</v>
      </c>
      <c r="S95" s="33">
        <v>46090</v>
      </c>
      <c r="T95" s="35">
        <v>158</v>
      </c>
      <c r="U95" s="35">
        <v>3</v>
      </c>
      <c r="V95" s="35">
        <f t="shared" si="1"/>
        <v>0</v>
      </c>
    </row>
    <row r="96" spans="1:22" s="4" customFormat="1" x14ac:dyDescent="0.25">
      <c r="A96" s="32">
        <v>46090</v>
      </c>
      <c r="B96" s="7" t="s">
        <v>27</v>
      </c>
      <c r="C96" s="7" t="s">
        <v>36</v>
      </c>
      <c r="D96" s="34" t="s">
        <v>403</v>
      </c>
      <c r="E96" s="7" t="s">
        <v>120</v>
      </c>
      <c r="F96" s="34" t="s">
        <v>206</v>
      </c>
      <c r="G96" s="7" t="s">
        <v>55</v>
      </c>
      <c r="H96" s="7" t="s">
        <v>48</v>
      </c>
      <c r="I96" s="34">
        <v>5</v>
      </c>
      <c r="J96" s="7" t="s">
        <v>135</v>
      </c>
      <c r="K96" s="7">
        <v>60</v>
      </c>
      <c r="L96" s="37">
        <v>150</v>
      </c>
      <c r="M96" s="37">
        <v>9000</v>
      </c>
      <c r="N96" s="7">
        <v>150</v>
      </c>
      <c r="O96" s="7" t="s">
        <v>85</v>
      </c>
      <c r="P96" s="34">
        <v>60</v>
      </c>
      <c r="Q96" s="44"/>
      <c r="R96" s="34">
        <v>31048</v>
      </c>
      <c r="S96" s="32">
        <v>46090</v>
      </c>
      <c r="T96" s="34">
        <v>200</v>
      </c>
      <c r="U96" s="34">
        <v>50</v>
      </c>
      <c r="V96" s="34">
        <f t="shared" si="1"/>
        <v>0</v>
      </c>
    </row>
    <row r="97" spans="1:22" s="1" customFormat="1" x14ac:dyDescent="0.25">
      <c r="A97" s="33">
        <v>46090</v>
      </c>
      <c r="B97" s="9" t="s">
        <v>27</v>
      </c>
      <c r="C97" s="9" t="s">
        <v>36</v>
      </c>
      <c r="D97" s="35" t="s">
        <v>403</v>
      </c>
      <c r="E97" s="9" t="s">
        <v>120</v>
      </c>
      <c r="F97" s="35" t="s">
        <v>207</v>
      </c>
      <c r="G97" s="9" t="s">
        <v>55</v>
      </c>
      <c r="H97" s="9" t="s">
        <v>49</v>
      </c>
      <c r="I97" s="35">
        <v>5</v>
      </c>
      <c r="J97" s="9" t="s">
        <v>135</v>
      </c>
      <c r="K97" s="9">
        <v>30</v>
      </c>
      <c r="L97" s="38">
        <v>150</v>
      </c>
      <c r="M97" s="38">
        <v>4500</v>
      </c>
      <c r="N97" s="9">
        <v>75</v>
      </c>
      <c r="O97" s="9" t="s">
        <v>85</v>
      </c>
      <c r="P97" s="35">
        <v>30</v>
      </c>
      <c r="Q97" s="43"/>
      <c r="R97" s="35">
        <v>30973</v>
      </c>
      <c r="S97" s="33">
        <v>46090</v>
      </c>
      <c r="T97" s="35">
        <v>80</v>
      </c>
      <c r="U97" s="35">
        <v>5</v>
      </c>
      <c r="V97" s="35">
        <f t="shared" si="1"/>
        <v>0</v>
      </c>
    </row>
    <row r="98" spans="1:22" s="4" customFormat="1" x14ac:dyDescent="0.25">
      <c r="A98" s="32">
        <v>46090</v>
      </c>
      <c r="B98" s="7" t="s">
        <v>124</v>
      </c>
      <c r="C98" s="7" t="s">
        <v>125</v>
      </c>
      <c r="D98" s="34" t="s">
        <v>403</v>
      </c>
      <c r="E98" s="7" t="s">
        <v>120</v>
      </c>
      <c r="F98" s="34" t="s">
        <v>155</v>
      </c>
      <c r="G98" s="7" t="s">
        <v>55</v>
      </c>
      <c r="H98" s="7" t="s">
        <v>152</v>
      </c>
      <c r="I98" s="34">
        <v>6</v>
      </c>
      <c r="J98" s="7" t="s">
        <v>137</v>
      </c>
      <c r="K98" s="7">
        <v>30</v>
      </c>
      <c r="L98" s="37">
        <v>80</v>
      </c>
      <c r="M98" s="37">
        <v>2400</v>
      </c>
      <c r="N98" s="7">
        <v>40</v>
      </c>
      <c r="O98" s="7" t="s">
        <v>85</v>
      </c>
      <c r="P98" s="34">
        <v>30</v>
      </c>
      <c r="Q98" s="44"/>
      <c r="R98" s="34">
        <v>31640</v>
      </c>
      <c r="S98" s="32">
        <v>46090</v>
      </c>
      <c r="T98" s="34">
        <v>50</v>
      </c>
      <c r="U98" s="34">
        <v>10</v>
      </c>
      <c r="V98" s="34">
        <f t="shared" si="1"/>
        <v>0</v>
      </c>
    </row>
    <row r="99" spans="1:22" s="1" customFormat="1" x14ac:dyDescent="0.25">
      <c r="A99" s="33">
        <v>46090</v>
      </c>
      <c r="B99" s="9" t="s">
        <v>30</v>
      </c>
      <c r="C99" s="9" t="s">
        <v>40</v>
      </c>
      <c r="D99" s="35" t="s">
        <v>403</v>
      </c>
      <c r="E99" s="9" t="s">
        <v>120</v>
      </c>
      <c r="F99" s="35" t="s">
        <v>155</v>
      </c>
      <c r="G99" s="9" t="s">
        <v>55</v>
      </c>
      <c r="H99" s="9" t="s">
        <v>152</v>
      </c>
      <c r="I99" s="35">
        <v>9</v>
      </c>
      <c r="J99" s="9" t="s">
        <v>143</v>
      </c>
      <c r="K99" s="9">
        <v>30</v>
      </c>
      <c r="L99" s="38">
        <v>40</v>
      </c>
      <c r="M99" s="38">
        <v>1200</v>
      </c>
      <c r="N99" s="9">
        <v>20</v>
      </c>
      <c r="O99" s="9" t="s">
        <v>85</v>
      </c>
      <c r="P99" s="35">
        <v>30</v>
      </c>
      <c r="Q99" s="43"/>
      <c r="R99" s="35">
        <v>31660</v>
      </c>
      <c r="S99" s="33">
        <v>46090</v>
      </c>
      <c r="T99" s="35">
        <v>20</v>
      </c>
      <c r="U99" s="35">
        <v>0</v>
      </c>
      <c r="V99" s="35">
        <f t="shared" si="1"/>
        <v>0</v>
      </c>
    </row>
    <row r="100" spans="1:22" s="4" customFormat="1" x14ac:dyDescent="0.25">
      <c r="A100" s="32">
        <v>46091</v>
      </c>
      <c r="B100" s="7" t="s">
        <v>27</v>
      </c>
      <c r="C100" s="7" t="s">
        <v>36</v>
      </c>
      <c r="D100" s="34" t="s">
        <v>403</v>
      </c>
      <c r="E100" s="7" t="s">
        <v>120</v>
      </c>
      <c r="F100" s="34" t="s">
        <v>155</v>
      </c>
      <c r="G100" s="7" t="s">
        <v>55</v>
      </c>
      <c r="H100" s="7" t="s">
        <v>152</v>
      </c>
      <c r="I100" s="34">
        <v>17</v>
      </c>
      <c r="J100" s="7" t="s">
        <v>213</v>
      </c>
      <c r="K100" s="7">
        <v>30</v>
      </c>
      <c r="L100" s="37">
        <v>30</v>
      </c>
      <c r="M100" s="37">
        <v>900</v>
      </c>
      <c r="N100" s="7">
        <v>15</v>
      </c>
      <c r="O100" s="7" t="s">
        <v>85</v>
      </c>
      <c r="P100" s="34">
        <v>30</v>
      </c>
      <c r="Q100" s="44"/>
      <c r="R100" s="34">
        <v>31665</v>
      </c>
      <c r="S100" s="32">
        <v>46090</v>
      </c>
      <c r="T100" s="34">
        <v>15</v>
      </c>
      <c r="U100" s="34">
        <v>0</v>
      </c>
      <c r="V100" s="34">
        <f t="shared" si="1"/>
        <v>0</v>
      </c>
    </row>
    <row r="101" spans="1:22" s="1" customFormat="1" x14ac:dyDescent="0.25">
      <c r="A101" s="33">
        <v>46091</v>
      </c>
      <c r="B101" s="9" t="s">
        <v>30</v>
      </c>
      <c r="C101" s="9" t="s">
        <v>40</v>
      </c>
      <c r="D101" s="35" t="s">
        <v>403</v>
      </c>
      <c r="E101" s="9" t="s">
        <v>120</v>
      </c>
      <c r="F101" s="35" t="s">
        <v>205</v>
      </c>
      <c r="G101" s="9" t="s">
        <v>55</v>
      </c>
      <c r="H101" s="9" t="s">
        <v>51</v>
      </c>
      <c r="I101" s="35">
        <v>17</v>
      </c>
      <c r="J101" s="9" t="s">
        <v>213</v>
      </c>
      <c r="K101" s="9">
        <v>62</v>
      </c>
      <c r="L101" s="38">
        <v>30</v>
      </c>
      <c r="M101" s="38">
        <v>1860</v>
      </c>
      <c r="N101" s="9">
        <v>31</v>
      </c>
      <c r="O101" s="9" t="s">
        <v>85</v>
      </c>
      <c r="P101" s="35">
        <v>62</v>
      </c>
      <c r="Q101" s="43"/>
      <c r="R101" s="35">
        <v>31649</v>
      </c>
      <c r="S101" s="33">
        <v>46090</v>
      </c>
      <c r="T101" s="35">
        <v>31</v>
      </c>
      <c r="U101" s="35">
        <v>0</v>
      </c>
      <c r="V101" s="35">
        <f t="shared" si="1"/>
        <v>0</v>
      </c>
    </row>
    <row r="102" spans="1:22" s="4" customFormat="1" x14ac:dyDescent="0.25">
      <c r="A102" s="32">
        <v>46091</v>
      </c>
      <c r="B102" s="7" t="s">
        <v>30</v>
      </c>
      <c r="C102" s="7" t="s">
        <v>40</v>
      </c>
      <c r="D102" s="34" t="s">
        <v>403</v>
      </c>
      <c r="E102" s="7" t="s">
        <v>120</v>
      </c>
      <c r="F102" s="34" t="s">
        <v>206</v>
      </c>
      <c r="G102" s="7" t="s">
        <v>55</v>
      </c>
      <c r="H102" s="7" t="s">
        <v>48</v>
      </c>
      <c r="I102" s="34">
        <v>13</v>
      </c>
      <c r="J102" s="7" t="s">
        <v>213</v>
      </c>
      <c r="K102" s="7">
        <v>60</v>
      </c>
      <c r="L102" s="37">
        <v>30</v>
      </c>
      <c r="M102" s="37">
        <v>1800</v>
      </c>
      <c r="N102" s="7">
        <v>30</v>
      </c>
      <c r="O102" s="7" t="s">
        <v>85</v>
      </c>
      <c r="P102" s="34">
        <v>60</v>
      </c>
      <c r="Q102" s="44"/>
      <c r="R102" s="34">
        <v>31619</v>
      </c>
      <c r="S102" s="32">
        <v>46091</v>
      </c>
      <c r="T102" s="34">
        <v>35</v>
      </c>
      <c r="U102" s="34">
        <v>5</v>
      </c>
      <c r="V102" s="34">
        <f t="shared" si="1"/>
        <v>0</v>
      </c>
    </row>
    <row r="103" spans="1:22" s="1" customFormat="1" x14ac:dyDescent="0.25">
      <c r="A103" s="33">
        <v>46091</v>
      </c>
      <c r="B103" s="9" t="s">
        <v>30</v>
      </c>
      <c r="C103" s="9" t="s">
        <v>40</v>
      </c>
      <c r="D103" s="35" t="s">
        <v>403</v>
      </c>
      <c r="E103" s="9" t="s">
        <v>120</v>
      </c>
      <c r="F103" s="35" t="s">
        <v>207</v>
      </c>
      <c r="G103" s="9" t="s">
        <v>55</v>
      </c>
      <c r="H103" s="9" t="s">
        <v>49</v>
      </c>
      <c r="I103" s="35">
        <v>13</v>
      </c>
      <c r="J103" s="9" t="s">
        <v>213</v>
      </c>
      <c r="K103" s="9">
        <v>30</v>
      </c>
      <c r="L103" s="38">
        <v>30</v>
      </c>
      <c r="M103" s="38">
        <v>900</v>
      </c>
      <c r="N103" s="9">
        <v>15</v>
      </c>
      <c r="O103" s="9" t="s">
        <v>85</v>
      </c>
      <c r="P103" s="35">
        <v>30</v>
      </c>
      <c r="Q103" s="43"/>
      <c r="R103" s="35">
        <v>31604</v>
      </c>
      <c r="S103" s="33">
        <v>46091</v>
      </c>
      <c r="T103" s="35">
        <v>20</v>
      </c>
      <c r="U103" s="35">
        <v>5</v>
      </c>
      <c r="V103" s="35">
        <f t="shared" si="1"/>
        <v>0</v>
      </c>
    </row>
    <row r="104" spans="1:22" s="4" customFormat="1" x14ac:dyDescent="0.25">
      <c r="A104" s="32">
        <v>46091</v>
      </c>
      <c r="B104" s="7" t="s">
        <v>122</v>
      </c>
      <c r="C104" s="7" t="s">
        <v>212</v>
      </c>
      <c r="D104" s="34" t="s">
        <v>403</v>
      </c>
      <c r="E104" s="7" t="s">
        <v>120</v>
      </c>
      <c r="F104" s="34" t="s">
        <v>209</v>
      </c>
      <c r="G104" s="7" t="s">
        <v>56</v>
      </c>
      <c r="H104" s="7" t="s">
        <v>51</v>
      </c>
      <c r="I104" s="34">
        <v>7</v>
      </c>
      <c r="J104" s="7" t="s">
        <v>139</v>
      </c>
      <c r="K104" s="7">
        <v>92</v>
      </c>
      <c r="L104" s="37">
        <v>60</v>
      </c>
      <c r="M104" s="37">
        <v>5520</v>
      </c>
      <c r="N104" s="7">
        <v>92</v>
      </c>
      <c r="O104" s="7" t="s">
        <v>85</v>
      </c>
      <c r="P104" s="34">
        <v>92</v>
      </c>
      <c r="Q104" s="44"/>
      <c r="R104" s="34">
        <v>31588</v>
      </c>
      <c r="S104" s="32">
        <v>46091</v>
      </c>
      <c r="T104" s="34">
        <v>100</v>
      </c>
      <c r="U104" s="34">
        <v>8</v>
      </c>
      <c r="V104" s="34">
        <f t="shared" si="1"/>
        <v>0</v>
      </c>
    </row>
    <row r="105" spans="1:22" s="1" customFormat="1" x14ac:dyDescent="0.25">
      <c r="A105" s="33">
        <v>46091</v>
      </c>
      <c r="B105" s="9" t="s">
        <v>122</v>
      </c>
      <c r="C105" s="9" t="s">
        <v>212</v>
      </c>
      <c r="D105" s="35" t="s">
        <v>403</v>
      </c>
      <c r="E105" s="9" t="s">
        <v>120</v>
      </c>
      <c r="F105" s="35" t="s">
        <v>210</v>
      </c>
      <c r="G105" s="9" t="s">
        <v>56</v>
      </c>
      <c r="H105" s="9" t="s">
        <v>48</v>
      </c>
      <c r="I105" s="35">
        <v>7</v>
      </c>
      <c r="J105" s="9" t="s">
        <v>139</v>
      </c>
      <c r="K105" s="9">
        <v>90</v>
      </c>
      <c r="L105" s="38">
        <v>60</v>
      </c>
      <c r="M105" s="38">
        <v>5400</v>
      </c>
      <c r="N105" s="9">
        <v>90</v>
      </c>
      <c r="O105" s="9" t="s">
        <v>85</v>
      </c>
      <c r="P105" s="35">
        <v>90</v>
      </c>
      <c r="Q105" s="43"/>
      <c r="R105" s="35">
        <v>31498</v>
      </c>
      <c r="S105" s="33">
        <v>46091</v>
      </c>
      <c r="T105" s="35">
        <v>120</v>
      </c>
      <c r="U105" s="35">
        <v>30</v>
      </c>
      <c r="V105" s="35">
        <f t="shared" si="1"/>
        <v>0</v>
      </c>
    </row>
    <row r="106" spans="1:22" s="4" customFormat="1" x14ac:dyDescent="0.25">
      <c r="A106" s="32">
        <v>46091</v>
      </c>
      <c r="B106" s="7" t="s">
        <v>122</v>
      </c>
      <c r="C106" s="7" t="s">
        <v>212</v>
      </c>
      <c r="D106" s="34" t="s">
        <v>403</v>
      </c>
      <c r="E106" s="7" t="s">
        <v>120</v>
      </c>
      <c r="F106" s="34" t="s">
        <v>211</v>
      </c>
      <c r="G106" s="7" t="s">
        <v>56</v>
      </c>
      <c r="H106" s="7" t="s">
        <v>49</v>
      </c>
      <c r="I106" s="34">
        <v>7</v>
      </c>
      <c r="J106" s="7" t="s">
        <v>139</v>
      </c>
      <c r="K106" s="7">
        <v>45</v>
      </c>
      <c r="L106" s="37">
        <v>60</v>
      </c>
      <c r="M106" s="37">
        <v>2700</v>
      </c>
      <c r="N106" s="7">
        <v>45</v>
      </c>
      <c r="O106" s="7" t="s">
        <v>85</v>
      </c>
      <c r="P106" s="34">
        <v>45</v>
      </c>
      <c r="Q106" s="44"/>
      <c r="R106" s="34">
        <v>31453</v>
      </c>
      <c r="S106" s="32">
        <v>46091</v>
      </c>
      <c r="T106" s="34">
        <v>60</v>
      </c>
      <c r="U106" s="34">
        <v>15</v>
      </c>
      <c r="V106" s="34">
        <f t="shared" si="1"/>
        <v>0</v>
      </c>
    </row>
    <row r="107" spans="1:22" s="1" customFormat="1" x14ac:dyDescent="0.25">
      <c r="A107" s="33">
        <v>46091</v>
      </c>
      <c r="B107" s="9" t="s">
        <v>122</v>
      </c>
      <c r="C107" s="9" t="s">
        <v>212</v>
      </c>
      <c r="D107" s="35" t="s">
        <v>403</v>
      </c>
      <c r="E107" s="9" t="s">
        <v>120</v>
      </c>
      <c r="F107" s="35" t="s">
        <v>209</v>
      </c>
      <c r="G107" s="9" t="s">
        <v>56</v>
      </c>
      <c r="H107" s="9" t="s">
        <v>51</v>
      </c>
      <c r="I107" s="35">
        <v>4</v>
      </c>
      <c r="J107" s="9" t="s">
        <v>133</v>
      </c>
      <c r="K107" s="9">
        <v>92</v>
      </c>
      <c r="L107" s="38">
        <v>30</v>
      </c>
      <c r="M107" s="38">
        <v>2760</v>
      </c>
      <c r="N107" s="9">
        <v>46</v>
      </c>
      <c r="O107" s="9" t="s">
        <v>85</v>
      </c>
      <c r="P107" s="35">
        <v>92</v>
      </c>
      <c r="Q107" s="43"/>
      <c r="R107" s="35">
        <v>31407</v>
      </c>
      <c r="S107" s="33">
        <v>46091</v>
      </c>
      <c r="T107" s="35">
        <v>55</v>
      </c>
      <c r="U107" s="35">
        <v>9</v>
      </c>
      <c r="V107" s="35">
        <f t="shared" si="1"/>
        <v>0</v>
      </c>
    </row>
    <row r="108" spans="1:22" s="4" customFormat="1" x14ac:dyDescent="0.25">
      <c r="A108" s="32">
        <v>46091</v>
      </c>
      <c r="B108" s="7" t="s">
        <v>122</v>
      </c>
      <c r="C108" s="7" t="s">
        <v>212</v>
      </c>
      <c r="D108" s="34" t="s">
        <v>403</v>
      </c>
      <c r="E108" s="7" t="s">
        <v>120</v>
      </c>
      <c r="F108" s="34" t="s">
        <v>211</v>
      </c>
      <c r="G108" s="7" t="s">
        <v>56</v>
      </c>
      <c r="H108" s="7" t="s">
        <v>49</v>
      </c>
      <c r="I108" s="34">
        <v>4</v>
      </c>
      <c r="J108" s="7" t="s">
        <v>133</v>
      </c>
      <c r="K108" s="7">
        <v>45</v>
      </c>
      <c r="L108" s="37">
        <v>30</v>
      </c>
      <c r="M108" s="37">
        <v>1350</v>
      </c>
      <c r="N108" s="7">
        <v>22.5</v>
      </c>
      <c r="O108" s="7" t="s">
        <v>85</v>
      </c>
      <c r="P108" s="34">
        <v>45</v>
      </c>
      <c r="Q108" s="44"/>
      <c r="R108" s="34">
        <v>31384.5</v>
      </c>
      <c r="S108" s="32">
        <v>46091</v>
      </c>
      <c r="T108" s="34">
        <v>30</v>
      </c>
      <c r="U108" s="34">
        <v>7.5</v>
      </c>
      <c r="V108" s="34">
        <f t="shared" si="1"/>
        <v>0</v>
      </c>
    </row>
    <row r="109" spans="1:22" s="1" customFormat="1" x14ac:dyDescent="0.25">
      <c r="A109" s="33">
        <v>46091</v>
      </c>
      <c r="B109" s="9" t="s">
        <v>30</v>
      </c>
      <c r="C109" s="9" t="s">
        <v>40</v>
      </c>
      <c r="D109" s="35" t="s">
        <v>403</v>
      </c>
      <c r="E109" s="9" t="s">
        <v>120</v>
      </c>
      <c r="F109" s="35" t="s">
        <v>205</v>
      </c>
      <c r="G109" s="9" t="s">
        <v>55</v>
      </c>
      <c r="H109" s="9" t="s">
        <v>51</v>
      </c>
      <c r="I109" s="35">
        <v>9</v>
      </c>
      <c r="J109" s="9" t="s">
        <v>143</v>
      </c>
      <c r="K109" s="9">
        <v>62</v>
      </c>
      <c r="L109" s="38">
        <v>40</v>
      </c>
      <c r="M109" s="38">
        <v>2480</v>
      </c>
      <c r="N109" s="9">
        <v>41.333333333333336</v>
      </c>
      <c r="O109" s="9" t="s">
        <v>85</v>
      </c>
      <c r="P109" s="35">
        <v>62</v>
      </c>
      <c r="Q109" s="43"/>
      <c r="R109" s="35">
        <v>31562.666666666668</v>
      </c>
      <c r="S109" s="33">
        <v>46090</v>
      </c>
      <c r="T109" s="35">
        <v>45</v>
      </c>
      <c r="U109" s="35">
        <v>3.6666666666666643</v>
      </c>
      <c r="V109" s="35">
        <f t="shared" si="1"/>
        <v>0</v>
      </c>
    </row>
    <row r="110" spans="1:22" s="4" customFormat="1" x14ac:dyDescent="0.25">
      <c r="A110" s="32">
        <v>46091</v>
      </c>
      <c r="B110" s="7" t="s">
        <v>30</v>
      </c>
      <c r="C110" s="7" t="s">
        <v>40</v>
      </c>
      <c r="D110" s="34" t="s">
        <v>403</v>
      </c>
      <c r="E110" s="7" t="s">
        <v>120</v>
      </c>
      <c r="F110" s="34" t="s">
        <v>155</v>
      </c>
      <c r="G110" s="7" t="s">
        <v>55</v>
      </c>
      <c r="H110" s="7" t="s">
        <v>152</v>
      </c>
      <c r="I110" s="34">
        <v>11</v>
      </c>
      <c r="J110" s="7" t="s">
        <v>147</v>
      </c>
      <c r="K110" s="7">
        <v>30</v>
      </c>
      <c r="L110" s="37">
        <v>60</v>
      </c>
      <c r="M110" s="37">
        <v>1800</v>
      </c>
      <c r="N110" s="7">
        <v>30</v>
      </c>
      <c r="O110" s="7" t="s">
        <v>85</v>
      </c>
      <c r="P110" s="34">
        <v>30</v>
      </c>
      <c r="Q110" s="44"/>
      <c r="R110" s="34">
        <v>31533</v>
      </c>
      <c r="S110" s="32">
        <v>46091</v>
      </c>
      <c r="T110" s="34">
        <v>35</v>
      </c>
      <c r="U110" s="34">
        <v>5</v>
      </c>
      <c r="V110" s="34">
        <f t="shared" si="1"/>
        <v>0</v>
      </c>
    </row>
    <row r="111" spans="1:22" s="1" customFormat="1" x14ac:dyDescent="0.25">
      <c r="A111" s="33">
        <v>46091</v>
      </c>
      <c r="B111" s="9" t="s">
        <v>30</v>
      </c>
      <c r="C111" s="9" t="s">
        <v>40</v>
      </c>
      <c r="D111" s="35" t="s">
        <v>403</v>
      </c>
      <c r="E111" s="9" t="s">
        <v>120</v>
      </c>
      <c r="F111" s="35" t="s">
        <v>155</v>
      </c>
      <c r="G111" s="9" t="s">
        <v>55</v>
      </c>
      <c r="H111" s="9" t="s">
        <v>152</v>
      </c>
      <c r="I111" s="35">
        <v>10</v>
      </c>
      <c r="J111" s="9" t="s">
        <v>145</v>
      </c>
      <c r="K111" s="9">
        <v>30</v>
      </c>
      <c r="L111" s="38">
        <v>60</v>
      </c>
      <c r="M111" s="38">
        <v>1800</v>
      </c>
      <c r="N111" s="9">
        <v>30</v>
      </c>
      <c r="O111" s="9" t="s">
        <v>85</v>
      </c>
      <c r="P111" s="35">
        <v>30</v>
      </c>
      <c r="Q111" s="43"/>
      <c r="R111" s="35">
        <v>31503</v>
      </c>
      <c r="S111" s="33">
        <v>46091</v>
      </c>
      <c r="T111" s="35">
        <v>30</v>
      </c>
      <c r="U111" s="35">
        <v>0</v>
      </c>
      <c r="V111" s="35">
        <f t="shared" si="1"/>
        <v>0</v>
      </c>
    </row>
    <row r="112" spans="1:22" s="4" customFormat="1" x14ac:dyDescent="0.25">
      <c r="A112" s="32">
        <v>46091</v>
      </c>
      <c r="B112" s="7" t="s">
        <v>30</v>
      </c>
      <c r="C112" s="7" t="s">
        <v>40</v>
      </c>
      <c r="D112" s="34" t="s">
        <v>403</v>
      </c>
      <c r="E112" s="7" t="s">
        <v>120</v>
      </c>
      <c r="F112" s="34" t="s">
        <v>205</v>
      </c>
      <c r="G112" s="7" t="s">
        <v>55</v>
      </c>
      <c r="H112" s="7" t="s">
        <v>51</v>
      </c>
      <c r="I112" s="34">
        <v>10</v>
      </c>
      <c r="J112" s="7" t="s">
        <v>145</v>
      </c>
      <c r="K112" s="7">
        <v>62</v>
      </c>
      <c r="L112" s="37">
        <v>60</v>
      </c>
      <c r="M112" s="37">
        <v>3720</v>
      </c>
      <c r="N112" s="7">
        <v>62</v>
      </c>
      <c r="O112" s="7" t="s">
        <v>85</v>
      </c>
      <c r="P112" s="34">
        <v>62</v>
      </c>
      <c r="Q112" s="44"/>
      <c r="R112" s="34">
        <v>31441</v>
      </c>
      <c r="S112" s="32">
        <v>46091</v>
      </c>
      <c r="T112" s="34">
        <v>65</v>
      </c>
      <c r="U112" s="34">
        <v>3</v>
      </c>
      <c r="V112" s="34">
        <f t="shared" si="1"/>
        <v>0</v>
      </c>
    </row>
    <row r="113" spans="1:22" s="1" customFormat="1" x14ac:dyDescent="0.25">
      <c r="A113" s="33">
        <v>46091</v>
      </c>
      <c r="B113" s="9" t="s">
        <v>29</v>
      </c>
      <c r="C113" s="9" t="s">
        <v>38</v>
      </c>
      <c r="D113" s="35" t="s">
        <v>403</v>
      </c>
      <c r="E113" s="9" t="s">
        <v>120</v>
      </c>
      <c r="F113" s="35" t="s">
        <v>209</v>
      </c>
      <c r="G113" s="9" t="s">
        <v>56</v>
      </c>
      <c r="H113" s="9" t="s">
        <v>51</v>
      </c>
      <c r="I113" s="35">
        <v>1</v>
      </c>
      <c r="J113" s="9" t="s">
        <v>127</v>
      </c>
      <c r="K113" s="9">
        <v>92</v>
      </c>
      <c r="L113" s="38">
        <v>65</v>
      </c>
      <c r="M113" s="38">
        <v>5980</v>
      </c>
      <c r="N113" s="9">
        <v>99.666666666666671</v>
      </c>
      <c r="O113" s="9" t="s">
        <v>85</v>
      </c>
      <c r="P113" s="35">
        <v>92</v>
      </c>
      <c r="Q113" s="43"/>
      <c r="R113" s="35">
        <v>31580.333333333332</v>
      </c>
      <c r="S113" s="33">
        <v>46090</v>
      </c>
      <c r="T113" s="35">
        <v>105</v>
      </c>
      <c r="U113" s="35">
        <v>5.3333333333333286</v>
      </c>
      <c r="V113" s="35">
        <f t="shared" si="1"/>
        <v>0</v>
      </c>
    </row>
    <row r="114" spans="1:22" s="4" customFormat="1" x14ac:dyDescent="0.25">
      <c r="A114" s="32">
        <v>46091</v>
      </c>
      <c r="B114" s="7" t="s">
        <v>29</v>
      </c>
      <c r="C114" s="7" t="s">
        <v>38</v>
      </c>
      <c r="D114" s="34" t="s">
        <v>403</v>
      </c>
      <c r="E114" s="7" t="s">
        <v>120</v>
      </c>
      <c r="F114" s="34" t="s">
        <v>209</v>
      </c>
      <c r="G114" s="7" t="s">
        <v>56</v>
      </c>
      <c r="H114" s="7" t="s">
        <v>51</v>
      </c>
      <c r="I114" s="34">
        <v>2</v>
      </c>
      <c r="J114" s="7" t="s">
        <v>129</v>
      </c>
      <c r="K114" s="7">
        <v>92</v>
      </c>
      <c r="L114" s="37">
        <v>40</v>
      </c>
      <c r="M114" s="37">
        <v>3680</v>
      </c>
      <c r="N114" s="7">
        <v>61.333333333333336</v>
      </c>
      <c r="O114" s="7" t="s">
        <v>85</v>
      </c>
      <c r="P114" s="34">
        <v>92</v>
      </c>
      <c r="Q114" s="44"/>
      <c r="R114" s="34">
        <v>31519.666666666668</v>
      </c>
      <c r="S114" s="32">
        <v>46091</v>
      </c>
      <c r="T114" s="34">
        <v>62</v>
      </c>
      <c r="U114" s="34">
        <v>0.6666666666666643</v>
      </c>
      <c r="V114" s="34">
        <f t="shared" si="1"/>
        <v>0</v>
      </c>
    </row>
    <row r="115" spans="1:22" s="1" customFormat="1" x14ac:dyDescent="0.25">
      <c r="A115" s="33">
        <v>46091</v>
      </c>
      <c r="B115" s="9" t="s">
        <v>29</v>
      </c>
      <c r="C115" s="9" t="s">
        <v>38</v>
      </c>
      <c r="D115" s="35" t="s">
        <v>403</v>
      </c>
      <c r="E115" s="9" t="s">
        <v>120</v>
      </c>
      <c r="F115" s="35" t="s">
        <v>210</v>
      </c>
      <c r="G115" s="9" t="s">
        <v>56</v>
      </c>
      <c r="H115" s="9" t="s">
        <v>48</v>
      </c>
      <c r="I115" s="35">
        <v>1</v>
      </c>
      <c r="J115" s="9" t="s">
        <v>127</v>
      </c>
      <c r="K115" s="9">
        <v>90</v>
      </c>
      <c r="L115" s="38">
        <v>65</v>
      </c>
      <c r="M115" s="38">
        <v>5850</v>
      </c>
      <c r="N115" s="9">
        <v>97.5</v>
      </c>
      <c r="O115" s="9" t="s">
        <v>85</v>
      </c>
      <c r="P115" s="35">
        <v>90</v>
      </c>
      <c r="Q115" s="43"/>
      <c r="R115" s="35">
        <v>31422.5</v>
      </c>
      <c r="S115" s="33">
        <v>46090</v>
      </c>
      <c r="T115" s="35">
        <v>105</v>
      </c>
      <c r="U115" s="35">
        <v>7.5</v>
      </c>
      <c r="V115" s="35">
        <f t="shared" si="1"/>
        <v>0</v>
      </c>
    </row>
    <row r="116" spans="1:22" s="4" customFormat="1" x14ac:dyDescent="0.25">
      <c r="A116" s="32">
        <v>46090</v>
      </c>
      <c r="B116" s="7" t="s">
        <v>29</v>
      </c>
      <c r="C116" s="7" t="s">
        <v>38</v>
      </c>
      <c r="D116" s="34" t="s">
        <v>403</v>
      </c>
      <c r="E116" s="7" t="s">
        <v>120</v>
      </c>
      <c r="F116" s="34" t="s">
        <v>211</v>
      </c>
      <c r="G116" s="7" t="s">
        <v>56</v>
      </c>
      <c r="H116" s="7" t="s">
        <v>49</v>
      </c>
      <c r="I116" s="34">
        <v>1</v>
      </c>
      <c r="J116" s="7" t="s">
        <v>127</v>
      </c>
      <c r="K116" s="7">
        <v>45</v>
      </c>
      <c r="L116" s="37">
        <v>65</v>
      </c>
      <c r="M116" s="37">
        <v>2925</v>
      </c>
      <c r="N116" s="7">
        <v>48.75</v>
      </c>
      <c r="O116" s="7" t="s">
        <v>85</v>
      </c>
      <c r="P116" s="34">
        <v>45</v>
      </c>
      <c r="Q116" s="44"/>
      <c r="R116" s="34">
        <v>31374.25</v>
      </c>
      <c r="S116" s="32">
        <v>46090</v>
      </c>
      <c r="T116" s="34">
        <v>50</v>
      </c>
      <c r="U116" s="34">
        <v>1.25</v>
      </c>
      <c r="V116" s="34">
        <f t="shared" si="1"/>
        <v>0</v>
      </c>
    </row>
    <row r="117" spans="1:22" s="1" customFormat="1" x14ac:dyDescent="0.25">
      <c r="A117" s="33">
        <v>46091</v>
      </c>
      <c r="B117" s="9" t="s">
        <v>27</v>
      </c>
      <c r="C117" s="9" t="s">
        <v>36</v>
      </c>
      <c r="D117" s="35" t="s">
        <v>403</v>
      </c>
      <c r="E117" s="9" t="s">
        <v>120</v>
      </c>
      <c r="F117" s="35" t="s">
        <v>155</v>
      </c>
      <c r="G117" s="9" t="s">
        <v>55</v>
      </c>
      <c r="H117" s="9" t="s">
        <v>152</v>
      </c>
      <c r="I117" s="35">
        <v>17</v>
      </c>
      <c r="J117" s="9" t="s">
        <v>213</v>
      </c>
      <c r="K117" s="9">
        <v>30</v>
      </c>
      <c r="L117" s="38">
        <v>30</v>
      </c>
      <c r="M117" s="38">
        <v>900</v>
      </c>
      <c r="N117" s="9">
        <v>15</v>
      </c>
      <c r="O117" s="9" t="s">
        <v>85</v>
      </c>
      <c r="P117" s="35">
        <v>30</v>
      </c>
      <c r="Q117" s="43"/>
      <c r="R117" s="35">
        <v>31650</v>
      </c>
      <c r="S117" s="33">
        <v>46091</v>
      </c>
      <c r="T117" s="35">
        <v>15</v>
      </c>
      <c r="U117" s="35">
        <v>0</v>
      </c>
      <c r="V117" s="35">
        <f t="shared" si="1"/>
        <v>0</v>
      </c>
    </row>
    <row r="118" spans="1:22" s="4" customFormat="1" x14ac:dyDescent="0.25">
      <c r="A118" s="32">
        <v>46090</v>
      </c>
      <c r="B118" s="7" t="s">
        <v>30</v>
      </c>
      <c r="C118" s="7" t="s">
        <v>40</v>
      </c>
      <c r="D118" s="34" t="s">
        <v>53</v>
      </c>
      <c r="E118" s="7" t="s">
        <v>54</v>
      </c>
      <c r="F118" s="34" t="s">
        <v>91</v>
      </c>
      <c r="G118" s="7" t="s">
        <v>55</v>
      </c>
      <c r="H118" s="7" t="s">
        <v>48</v>
      </c>
      <c r="I118" s="34">
        <v>12</v>
      </c>
      <c r="J118" s="7" t="s">
        <v>76</v>
      </c>
      <c r="K118" s="7">
        <v>55</v>
      </c>
      <c r="L118" s="37">
        <v>180</v>
      </c>
      <c r="M118" s="37">
        <v>9900</v>
      </c>
      <c r="N118" s="7">
        <v>165</v>
      </c>
      <c r="O118" s="7" t="s">
        <v>85</v>
      </c>
      <c r="P118" s="34">
        <v>55</v>
      </c>
      <c r="Q118" s="44"/>
      <c r="R118" s="34">
        <v>31515</v>
      </c>
      <c r="S118" s="32">
        <v>46091</v>
      </c>
      <c r="T118" s="34">
        <v>180</v>
      </c>
      <c r="U118" s="34">
        <v>15</v>
      </c>
      <c r="V118" s="34">
        <f t="shared" si="1"/>
        <v>0</v>
      </c>
    </row>
    <row r="119" spans="1:22" s="1" customFormat="1" x14ac:dyDescent="0.25">
      <c r="A119" s="33">
        <v>46090</v>
      </c>
      <c r="B119" s="9" t="s">
        <v>30</v>
      </c>
      <c r="C119" s="9" t="s">
        <v>40</v>
      </c>
      <c r="D119" s="35" t="s">
        <v>53</v>
      </c>
      <c r="E119" s="9" t="s">
        <v>54</v>
      </c>
      <c r="F119" s="35" t="s">
        <v>92</v>
      </c>
      <c r="G119" s="9" t="s">
        <v>55</v>
      </c>
      <c r="H119" s="9" t="s">
        <v>49</v>
      </c>
      <c r="I119" s="35">
        <v>12</v>
      </c>
      <c r="J119" s="9" t="s">
        <v>76</v>
      </c>
      <c r="K119" s="9">
        <v>19</v>
      </c>
      <c r="L119" s="38">
        <v>180</v>
      </c>
      <c r="M119" s="38">
        <v>3420</v>
      </c>
      <c r="N119" s="9">
        <v>57</v>
      </c>
      <c r="O119" s="9" t="s">
        <v>85</v>
      </c>
      <c r="P119" s="35">
        <v>19</v>
      </c>
      <c r="Q119" s="43"/>
      <c r="R119" s="35">
        <v>31458</v>
      </c>
      <c r="S119" s="33">
        <v>46090</v>
      </c>
      <c r="T119" s="35">
        <v>60</v>
      </c>
      <c r="U119" s="35">
        <v>3</v>
      </c>
      <c r="V119" s="35">
        <f t="shared" si="1"/>
        <v>0</v>
      </c>
    </row>
    <row r="120" spans="1:22" s="4" customFormat="1" x14ac:dyDescent="0.25">
      <c r="A120" s="32">
        <v>46090</v>
      </c>
      <c r="B120" s="7" t="s">
        <v>29</v>
      </c>
      <c r="C120" s="7" t="s">
        <v>38</v>
      </c>
      <c r="D120" s="34" t="s">
        <v>53</v>
      </c>
      <c r="E120" s="7" t="s">
        <v>54</v>
      </c>
      <c r="F120" s="34" t="s">
        <v>92</v>
      </c>
      <c r="G120" s="7" t="s">
        <v>55</v>
      </c>
      <c r="H120" s="7" t="s">
        <v>49</v>
      </c>
      <c r="I120" s="34">
        <v>9</v>
      </c>
      <c r="J120" s="7" t="s">
        <v>71</v>
      </c>
      <c r="K120" s="7">
        <v>19</v>
      </c>
      <c r="L120" s="37">
        <v>40</v>
      </c>
      <c r="M120" s="37">
        <v>760</v>
      </c>
      <c r="N120" s="7">
        <v>12.666666666666666</v>
      </c>
      <c r="O120" s="7" t="s">
        <v>85</v>
      </c>
      <c r="P120" s="34">
        <v>0</v>
      </c>
      <c r="Q120" s="44"/>
      <c r="R120" s="34">
        <v>31667.333333333332</v>
      </c>
      <c r="S120" s="34"/>
      <c r="T120" s="34">
        <v>0</v>
      </c>
      <c r="U120" s="34">
        <v>0</v>
      </c>
      <c r="V120" s="34">
        <f t="shared" si="1"/>
        <v>19</v>
      </c>
    </row>
    <row r="121" spans="1:22" s="1" customFormat="1" x14ac:dyDescent="0.25">
      <c r="A121" s="33">
        <v>46090</v>
      </c>
      <c r="B121" s="9" t="s">
        <v>44</v>
      </c>
      <c r="C121" s="9" t="s">
        <v>45</v>
      </c>
      <c r="D121" s="35" t="s">
        <v>53</v>
      </c>
      <c r="E121" s="9" t="s">
        <v>54</v>
      </c>
      <c r="F121" s="35" t="s">
        <v>87</v>
      </c>
      <c r="G121" s="9" t="s">
        <v>56</v>
      </c>
      <c r="H121" s="9" t="s">
        <v>51</v>
      </c>
      <c r="I121" s="35">
        <v>13</v>
      </c>
      <c r="J121" s="9"/>
      <c r="K121" s="9">
        <v>23</v>
      </c>
      <c r="L121" s="38">
        <v>0</v>
      </c>
      <c r="M121" s="38">
        <v>0</v>
      </c>
      <c r="N121" s="9">
        <v>0</v>
      </c>
      <c r="O121" s="9" t="s">
        <v>85</v>
      </c>
      <c r="P121" s="35">
        <v>23</v>
      </c>
      <c r="Q121" s="43"/>
      <c r="R121" s="35">
        <v>31666.583333333332</v>
      </c>
      <c r="S121" s="33">
        <v>46090</v>
      </c>
      <c r="T121" s="35">
        <v>20</v>
      </c>
      <c r="U121" s="35">
        <v>20</v>
      </c>
      <c r="V121" s="35">
        <f t="shared" si="1"/>
        <v>0</v>
      </c>
    </row>
    <row r="122" spans="1:22" s="4" customFormat="1" x14ac:dyDescent="0.25">
      <c r="A122" s="32">
        <v>46090</v>
      </c>
      <c r="B122" s="7" t="s">
        <v>29</v>
      </c>
      <c r="C122" s="7" t="s">
        <v>38</v>
      </c>
      <c r="D122" s="34" t="s">
        <v>53</v>
      </c>
      <c r="E122" s="7" t="s">
        <v>54</v>
      </c>
      <c r="F122" s="34" t="s">
        <v>91</v>
      </c>
      <c r="G122" s="7" t="s">
        <v>55</v>
      </c>
      <c r="H122" s="7" t="s">
        <v>48</v>
      </c>
      <c r="I122" s="34">
        <v>1</v>
      </c>
      <c r="J122" s="7" t="s">
        <v>57</v>
      </c>
      <c r="K122" s="7">
        <v>55</v>
      </c>
      <c r="L122" s="37">
        <v>40</v>
      </c>
      <c r="M122" s="37">
        <v>2200</v>
      </c>
      <c r="N122" s="7">
        <v>36.666666666666664</v>
      </c>
      <c r="O122" s="7" t="s">
        <v>85</v>
      </c>
      <c r="P122" s="34">
        <v>0</v>
      </c>
      <c r="Q122" s="44"/>
      <c r="R122" s="34">
        <v>31631.333333333332</v>
      </c>
      <c r="S122" s="32">
        <v>46090</v>
      </c>
      <c r="T122" s="34">
        <v>0</v>
      </c>
      <c r="U122" s="34">
        <v>-36.666666666666664</v>
      </c>
      <c r="V122" s="34">
        <f t="shared" si="1"/>
        <v>55</v>
      </c>
    </row>
    <row r="123" spans="1:22" s="1" customFormat="1" x14ac:dyDescent="0.25">
      <c r="A123" s="33">
        <v>46090</v>
      </c>
      <c r="B123" s="9" t="s">
        <v>29</v>
      </c>
      <c r="C123" s="9" t="s">
        <v>38</v>
      </c>
      <c r="D123" s="35" t="s">
        <v>53</v>
      </c>
      <c r="E123" s="9" t="s">
        <v>54</v>
      </c>
      <c r="F123" s="35" t="s">
        <v>91</v>
      </c>
      <c r="G123" s="9" t="s">
        <v>55</v>
      </c>
      <c r="H123" s="9" t="s">
        <v>48</v>
      </c>
      <c r="I123" s="35">
        <v>9</v>
      </c>
      <c r="J123" s="9" t="s">
        <v>73</v>
      </c>
      <c r="K123" s="9">
        <v>55</v>
      </c>
      <c r="L123" s="38">
        <v>40</v>
      </c>
      <c r="M123" s="38">
        <v>2200</v>
      </c>
      <c r="N123" s="9">
        <v>36.666666666666664</v>
      </c>
      <c r="O123" s="9" t="s">
        <v>85</v>
      </c>
      <c r="P123" s="35">
        <v>55</v>
      </c>
      <c r="Q123" s="43"/>
      <c r="R123" s="35">
        <v>31595.333333333332</v>
      </c>
      <c r="S123" s="33">
        <v>46090</v>
      </c>
      <c r="T123" s="35">
        <v>37</v>
      </c>
      <c r="U123" s="35">
        <v>0.3333333333333357</v>
      </c>
      <c r="V123" s="35">
        <f t="shared" si="1"/>
        <v>0</v>
      </c>
    </row>
    <row r="124" spans="1:22" s="4" customFormat="1" x14ac:dyDescent="0.25">
      <c r="A124" s="32">
        <v>46090</v>
      </c>
      <c r="B124" s="7" t="s">
        <v>29</v>
      </c>
      <c r="C124" s="7" t="s">
        <v>38</v>
      </c>
      <c r="D124" s="34" t="s">
        <v>53</v>
      </c>
      <c r="E124" s="7" t="s">
        <v>54</v>
      </c>
      <c r="F124" s="34" t="s">
        <v>91</v>
      </c>
      <c r="G124" s="7" t="s">
        <v>55</v>
      </c>
      <c r="H124" s="7" t="s">
        <v>48</v>
      </c>
      <c r="I124" s="34">
        <v>10</v>
      </c>
      <c r="J124" s="7" t="s">
        <v>73</v>
      </c>
      <c r="K124" s="7">
        <v>55</v>
      </c>
      <c r="L124" s="37">
        <v>40</v>
      </c>
      <c r="M124" s="37">
        <v>2200</v>
      </c>
      <c r="N124" s="7">
        <v>36.666666666666664</v>
      </c>
      <c r="O124" s="7" t="s">
        <v>85</v>
      </c>
      <c r="P124" s="34">
        <v>55</v>
      </c>
      <c r="Q124" s="44"/>
      <c r="R124" s="34">
        <v>31559.333333333332</v>
      </c>
      <c r="S124" s="32">
        <v>46090</v>
      </c>
      <c r="T124" s="34">
        <v>40</v>
      </c>
      <c r="U124" s="34">
        <v>3.3333333333333357</v>
      </c>
      <c r="V124" s="34">
        <f t="shared" si="1"/>
        <v>0</v>
      </c>
    </row>
    <row r="125" spans="1:22" s="1" customFormat="1" x14ac:dyDescent="0.25">
      <c r="A125" s="33">
        <v>46090</v>
      </c>
      <c r="B125" s="9" t="s">
        <v>29</v>
      </c>
      <c r="C125" s="9" t="s">
        <v>38</v>
      </c>
      <c r="D125" s="35" t="s">
        <v>53</v>
      </c>
      <c r="E125" s="9" t="s">
        <v>54</v>
      </c>
      <c r="F125" s="35" t="s">
        <v>91</v>
      </c>
      <c r="G125" s="9" t="s">
        <v>55</v>
      </c>
      <c r="H125" s="9" t="s">
        <v>48</v>
      </c>
      <c r="I125" s="35">
        <v>11</v>
      </c>
      <c r="J125" s="9" t="s">
        <v>74</v>
      </c>
      <c r="K125" s="9">
        <v>55</v>
      </c>
      <c r="L125" s="38">
        <v>30</v>
      </c>
      <c r="M125" s="38">
        <v>1650</v>
      </c>
      <c r="N125" s="9">
        <v>27.5</v>
      </c>
      <c r="O125" s="9" t="s">
        <v>85</v>
      </c>
      <c r="P125" s="35">
        <v>55</v>
      </c>
      <c r="Q125" s="43"/>
      <c r="R125" s="35">
        <v>31532.5</v>
      </c>
      <c r="S125" s="33">
        <v>46090</v>
      </c>
      <c r="T125" s="35">
        <v>28</v>
      </c>
      <c r="U125" s="35">
        <v>0.5</v>
      </c>
      <c r="V125" s="35">
        <f t="shared" si="1"/>
        <v>0</v>
      </c>
    </row>
    <row r="126" spans="1:22" s="4" customFormat="1" x14ac:dyDescent="0.25">
      <c r="A126" s="32">
        <v>46090</v>
      </c>
      <c r="B126" s="7" t="s">
        <v>124</v>
      </c>
      <c r="C126" s="7" t="s">
        <v>125</v>
      </c>
      <c r="D126" s="34" t="s">
        <v>53</v>
      </c>
      <c r="E126" s="7" t="s">
        <v>54</v>
      </c>
      <c r="F126" s="34" t="s">
        <v>91</v>
      </c>
      <c r="G126" s="7" t="s">
        <v>55</v>
      </c>
      <c r="H126" s="7" t="s">
        <v>48</v>
      </c>
      <c r="I126" s="34">
        <v>13</v>
      </c>
      <c r="J126" s="7" t="s">
        <v>78</v>
      </c>
      <c r="K126" s="7">
        <v>55</v>
      </c>
      <c r="L126" s="37">
        <v>35</v>
      </c>
      <c r="M126" s="37">
        <v>1925</v>
      </c>
      <c r="N126" s="7">
        <v>32.083333333333336</v>
      </c>
      <c r="O126" s="7" t="s">
        <v>85</v>
      </c>
      <c r="P126" s="34">
        <v>0</v>
      </c>
      <c r="Q126" s="44"/>
      <c r="R126" s="34">
        <v>31647.916666666668</v>
      </c>
      <c r="S126" s="32">
        <v>46091</v>
      </c>
      <c r="T126" s="34">
        <v>32</v>
      </c>
      <c r="U126" s="34">
        <v>-8.3333333333335702E-2</v>
      </c>
      <c r="V126" s="34">
        <f t="shared" si="1"/>
        <v>55</v>
      </c>
    </row>
    <row r="127" spans="1:22" s="1" customFormat="1" x14ac:dyDescent="0.25">
      <c r="A127" s="33">
        <v>46090</v>
      </c>
      <c r="B127" s="9" t="s">
        <v>30</v>
      </c>
      <c r="C127" s="9" t="s">
        <v>40</v>
      </c>
      <c r="D127" s="35" t="s">
        <v>53</v>
      </c>
      <c r="E127" s="9" t="s">
        <v>54</v>
      </c>
      <c r="F127" s="35" t="s">
        <v>91</v>
      </c>
      <c r="G127" s="9" t="s">
        <v>55</v>
      </c>
      <c r="H127" s="9" t="s">
        <v>48</v>
      </c>
      <c r="I127" s="35">
        <v>6</v>
      </c>
      <c r="J127" s="9" t="s">
        <v>67</v>
      </c>
      <c r="K127" s="9">
        <v>55</v>
      </c>
      <c r="L127" s="38">
        <v>40</v>
      </c>
      <c r="M127" s="38">
        <v>2200</v>
      </c>
      <c r="N127" s="9">
        <v>36.666666666666664</v>
      </c>
      <c r="O127" s="9" t="s">
        <v>85</v>
      </c>
      <c r="P127" s="35">
        <v>55</v>
      </c>
      <c r="Q127" s="43"/>
      <c r="R127" s="35">
        <v>31586.333333333332</v>
      </c>
      <c r="S127" s="33">
        <v>46090</v>
      </c>
      <c r="T127" s="35">
        <v>40</v>
      </c>
      <c r="U127" s="35">
        <v>3.3333333333333357</v>
      </c>
      <c r="V127" s="35">
        <f t="shared" si="1"/>
        <v>0</v>
      </c>
    </row>
    <row r="128" spans="1:22" s="4" customFormat="1" x14ac:dyDescent="0.25">
      <c r="A128" s="32">
        <v>46092</v>
      </c>
      <c r="B128" s="7" t="s">
        <v>29</v>
      </c>
      <c r="C128" s="7" t="s">
        <v>38</v>
      </c>
      <c r="D128" s="34" t="s">
        <v>403</v>
      </c>
      <c r="E128" s="7" t="s">
        <v>120</v>
      </c>
      <c r="F128" s="34" t="s">
        <v>155</v>
      </c>
      <c r="G128" s="7" t="s">
        <v>55</v>
      </c>
      <c r="H128" s="7" t="s">
        <v>152</v>
      </c>
      <c r="I128" s="34">
        <v>12</v>
      </c>
      <c r="J128" s="7" t="s">
        <v>149</v>
      </c>
      <c r="K128" s="7">
        <v>30</v>
      </c>
      <c r="L128" s="37">
        <v>30</v>
      </c>
      <c r="M128" s="37">
        <v>900</v>
      </c>
      <c r="N128" s="7">
        <v>15</v>
      </c>
      <c r="O128" s="7" t="s">
        <v>85</v>
      </c>
      <c r="P128" s="34">
        <v>30</v>
      </c>
      <c r="Q128" s="44"/>
      <c r="R128" s="34">
        <v>31665</v>
      </c>
      <c r="S128" s="32">
        <v>46092</v>
      </c>
      <c r="T128" s="34">
        <v>40</v>
      </c>
      <c r="U128" s="34">
        <v>25</v>
      </c>
      <c r="V128" s="34">
        <f t="shared" si="1"/>
        <v>0</v>
      </c>
    </row>
    <row r="129" spans="1:22" s="1" customFormat="1" x14ac:dyDescent="0.25">
      <c r="A129" s="33">
        <v>46093</v>
      </c>
      <c r="B129" s="9" t="s">
        <v>30</v>
      </c>
      <c r="C129" s="9" t="s">
        <v>40</v>
      </c>
      <c r="D129" s="35" t="s">
        <v>403</v>
      </c>
      <c r="E129" s="9" t="s">
        <v>120</v>
      </c>
      <c r="F129" s="35" t="s">
        <v>206</v>
      </c>
      <c r="G129" s="9" t="s">
        <v>55</v>
      </c>
      <c r="H129" s="9" t="s">
        <v>48</v>
      </c>
      <c r="I129" s="35">
        <v>10</v>
      </c>
      <c r="J129" s="9" t="s">
        <v>145</v>
      </c>
      <c r="K129" s="9">
        <v>60</v>
      </c>
      <c r="L129" s="38">
        <v>60</v>
      </c>
      <c r="M129" s="38">
        <v>3600</v>
      </c>
      <c r="N129" s="9">
        <v>60</v>
      </c>
      <c r="O129" s="9" t="s">
        <v>85</v>
      </c>
      <c r="P129" s="35">
        <v>60</v>
      </c>
      <c r="Q129" s="43"/>
      <c r="R129" s="35">
        <v>31620</v>
      </c>
      <c r="S129" s="33">
        <v>46093</v>
      </c>
      <c r="T129" s="35">
        <v>70</v>
      </c>
      <c r="U129" s="35">
        <v>10</v>
      </c>
      <c r="V129" s="35">
        <f t="shared" si="1"/>
        <v>0</v>
      </c>
    </row>
    <row r="130" spans="1:22" s="4" customFormat="1" x14ac:dyDescent="0.25">
      <c r="A130" s="32">
        <v>46093</v>
      </c>
      <c r="B130" s="7" t="s">
        <v>30</v>
      </c>
      <c r="C130" s="7" t="s">
        <v>40</v>
      </c>
      <c r="D130" s="34" t="s">
        <v>403</v>
      </c>
      <c r="E130" s="7" t="s">
        <v>120</v>
      </c>
      <c r="F130" s="34" t="s">
        <v>206</v>
      </c>
      <c r="G130" s="7" t="s">
        <v>55</v>
      </c>
      <c r="H130" s="7" t="s">
        <v>48</v>
      </c>
      <c r="I130" s="34">
        <v>9</v>
      </c>
      <c r="J130" s="7" t="s">
        <v>143</v>
      </c>
      <c r="K130" s="7">
        <v>60</v>
      </c>
      <c r="L130" s="37">
        <v>40</v>
      </c>
      <c r="M130" s="37">
        <v>2400</v>
      </c>
      <c r="N130" s="7">
        <v>40</v>
      </c>
      <c r="O130" s="7" t="s">
        <v>85</v>
      </c>
      <c r="P130" s="34">
        <v>60</v>
      </c>
      <c r="Q130" s="44"/>
      <c r="R130" s="34">
        <v>31580</v>
      </c>
      <c r="S130" s="32">
        <v>46093</v>
      </c>
      <c r="T130" s="34">
        <v>50</v>
      </c>
      <c r="U130" s="34">
        <v>10</v>
      </c>
      <c r="V130" s="34">
        <f t="shared" si="1"/>
        <v>0</v>
      </c>
    </row>
    <row r="131" spans="1:22" s="1" customFormat="1" x14ac:dyDescent="0.25">
      <c r="A131" s="33">
        <v>46093</v>
      </c>
      <c r="B131" s="9" t="s">
        <v>30</v>
      </c>
      <c r="C131" s="9" t="s">
        <v>40</v>
      </c>
      <c r="D131" s="35" t="s">
        <v>403</v>
      </c>
      <c r="E131" s="9" t="s">
        <v>120</v>
      </c>
      <c r="F131" s="35" t="s">
        <v>206</v>
      </c>
      <c r="G131" s="9" t="s">
        <v>55</v>
      </c>
      <c r="H131" s="9" t="s">
        <v>48</v>
      </c>
      <c r="I131" s="35">
        <v>11</v>
      </c>
      <c r="J131" s="9" t="s">
        <v>147</v>
      </c>
      <c r="K131" s="9">
        <v>60</v>
      </c>
      <c r="L131" s="38">
        <v>60</v>
      </c>
      <c r="M131" s="38">
        <v>3600</v>
      </c>
      <c r="N131" s="9">
        <v>60</v>
      </c>
      <c r="O131" s="9" t="s">
        <v>85</v>
      </c>
      <c r="P131" s="35">
        <v>60</v>
      </c>
      <c r="Q131" s="43"/>
      <c r="R131" s="35">
        <v>31520</v>
      </c>
      <c r="S131" s="33">
        <v>46093</v>
      </c>
      <c r="T131" s="35">
        <v>70</v>
      </c>
      <c r="U131" s="35">
        <v>10</v>
      </c>
      <c r="V131" s="35">
        <f t="shared" si="1"/>
        <v>0</v>
      </c>
    </row>
    <row r="132" spans="1:22" s="4" customFormat="1" x14ac:dyDescent="0.25">
      <c r="A132" s="32">
        <v>46093</v>
      </c>
      <c r="B132" s="7" t="s">
        <v>30</v>
      </c>
      <c r="C132" s="7" t="s">
        <v>40</v>
      </c>
      <c r="D132" s="34" t="s">
        <v>403</v>
      </c>
      <c r="E132" s="7" t="s">
        <v>120</v>
      </c>
      <c r="F132" s="34" t="s">
        <v>208</v>
      </c>
      <c r="G132" s="7" t="s">
        <v>56</v>
      </c>
      <c r="H132" s="7" t="s">
        <v>152</v>
      </c>
      <c r="I132" s="34">
        <v>10</v>
      </c>
      <c r="J132" s="7" t="s">
        <v>145</v>
      </c>
      <c r="K132" s="7">
        <v>45</v>
      </c>
      <c r="L132" s="37">
        <v>60</v>
      </c>
      <c r="M132" s="37">
        <v>2700</v>
      </c>
      <c r="N132" s="7">
        <v>45</v>
      </c>
      <c r="O132" s="7" t="s">
        <v>85</v>
      </c>
      <c r="P132" s="34">
        <v>45</v>
      </c>
      <c r="Q132" s="44"/>
      <c r="R132" s="34">
        <v>31475</v>
      </c>
      <c r="S132" s="32">
        <v>46093</v>
      </c>
      <c r="T132" s="34">
        <v>50</v>
      </c>
      <c r="U132" s="34">
        <v>5</v>
      </c>
      <c r="V132" s="34">
        <f t="shared" si="1"/>
        <v>0</v>
      </c>
    </row>
    <row r="133" spans="1:22" s="1" customFormat="1" x14ac:dyDescent="0.25">
      <c r="A133" s="33">
        <v>46093</v>
      </c>
      <c r="B133" s="9" t="s">
        <v>30</v>
      </c>
      <c r="C133" s="9" t="s">
        <v>40</v>
      </c>
      <c r="D133" s="35" t="s">
        <v>403</v>
      </c>
      <c r="E133" s="9" t="s">
        <v>120</v>
      </c>
      <c r="F133" s="35" t="s">
        <v>208</v>
      </c>
      <c r="G133" s="9" t="s">
        <v>56</v>
      </c>
      <c r="H133" s="9" t="s">
        <v>152</v>
      </c>
      <c r="I133" s="35">
        <v>9</v>
      </c>
      <c r="J133" s="9" t="s">
        <v>143</v>
      </c>
      <c r="K133" s="9">
        <v>45</v>
      </c>
      <c r="L133" s="38">
        <v>40</v>
      </c>
      <c r="M133" s="38">
        <v>1800</v>
      </c>
      <c r="N133" s="9">
        <v>30</v>
      </c>
      <c r="O133" s="9" t="s">
        <v>85</v>
      </c>
      <c r="P133" s="35">
        <v>45</v>
      </c>
      <c r="Q133" s="43"/>
      <c r="R133" s="35">
        <v>31445</v>
      </c>
      <c r="S133" s="33">
        <v>46090</v>
      </c>
      <c r="T133" s="35">
        <v>45</v>
      </c>
      <c r="U133" s="35">
        <v>15</v>
      </c>
      <c r="V133" s="35">
        <f t="shared" ref="V133:V196" si="2">+K133-P133</f>
        <v>0</v>
      </c>
    </row>
    <row r="134" spans="1:22" s="4" customFormat="1" x14ac:dyDescent="0.25">
      <c r="A134" s="32">
        <v>46091</v>
      </c>
      <c r="B134" s="7" t="s">
        <v>214</v>
      </c>
      <c r="C134" s="7" t="s">
        <v>215</v>
      </c>
      <c r="D134" s="34" t="s">
        <v>403</v>
      </c>
      <c r="E134" s="7" t="s">
        <v>120</v>
      </c>
      <c r="F134" s="34" t="s">
        <v>205</v>
      </c>
      <c r="G134" s="7" t="s">
        <v>55</v>
      </c>
      <c r="H134" s="7" t="s">
        <v>51</v>
      </c>
      <c r="I134" s="34">
        <v>8</v>
      </c>
      <c r="J134" s="7" t="s">
        <v>141</v>
      </c>
      <c r="K134" s="7">
        <v>62</v>
      </c>
      <c r="L134" s="37">
        <v>80</v>
      </c>
      <c r="M134" s="37">
        <v>4960</v>
      </c>
      <c r="N134" s="7">
        <v>82.666666666666671</v>
      </c>
      <c r="O134" s="7" t="s">
        <v>85</v>
      </c>
      <c r="P134" s="34">
        <v>62</v>
      </c>
      <c r="Q134" s="44"/>
      <c r="R134" s="34">
        <v>31597.333333333332</v>
      </c>
      <c r="S134" s="32">
        <v>46091</v>
      </c>
      <c r="T134" s="34">
        <v>120</v>
      </c>
      <c r="U134" s="34">
        <v>37.333333333333329</v>
      </c>
      <c r="V134" s="34">
        <f t="shared" si="2"/>
        <v>0</v>
      </c>
    </row>
    <row r="135" spans="1:22" s="1" customFormat="1" x14ac:dyDescent="0.25">
      <c r="A135" s="33">
        <v>46091</v>
      </c>
      <c r="B135" s="9" t="s">
        <v>214</v>
      </c>
      <c r="C135" s="9" t="s">
        <v>215</v>
      </c>
      <c r="D135" s="35" t="s">
        <v>403</v>
      </c>
      <c r="E135" s="9" t="s">
        <v>120</v>
      </c>
      <c r="F135" s="35" t="s">
        <v>205</v>
      </c>
      <c r="G135" s="9" t="s">
        <v>55</v>
      </c>
      <c r="H135" s="9" t="s">
        <v>51</v>
      </c>
      <c r="I135" s="35">
        <v>6</v>
      </c>
      <c r="J135" s="9" t="s">
        <v>137</v>
      </c>
      <c r="K135" s="9">
        <v>62</v>
      </c>
      <c r="L135" s="38">
        <v>80</v>
      </c>
      <c r="M135" s="38">
        <v>4960</v>
      </c>
      <c r="N135" s="9">
        <v>82.666666666666671</v>
      </c>
      <c r="O135" s="9" t="s">
        <v>85</v>
      </c>
      <c r="P135" s="35">
        <v>62</v>
      </c>
      <c r="Q135" s="43"/>
      <c r="R135" s="35">
        <v>31515.333333333332</v>
      </c>
      <c r="S135" s="33">
        <v>46091</v>
      </c>
      <c r="T135" s="35">
        <v>120</v>
      </c>
      <c r="U135" s="35">
        <v>37.333333333333329</v>
      </c>
      <c r="V135" s="35">
        <f t="shared" si="2"/>
        <v>0</v>
      </c>
    </row>
    <row r="136" spans="1:22" s="4" customFormat="1" x14ac:dyDescent="0.25">
      <c r="A136" s="32">
        <v>46096</v>
      </c>
      <c r="B136" s="7" t="s">
        <v>122</v>
      </c>
      <c r="C136" s="7" t="s">
        <v>212</v>
      </c>
      <c r="D136" s="34" t="s">
        <v>403</v>
      </c>
      <c r="E136" s="7" t="s">
        <v>120</v>
      </c>
      <c r="F136" s="34" t="s">
        <v>208</v>
      </c>
      <c r="G136" s="7" t="s">
        <v>56</v>
      </c>
      <c r="H136" s="7" t="s">
        <v>152</v>
      </c>
      <c r="I136" s="34">
        <v>8</v>
      </c>
      <c r="J136" s="7" t="s">
        <v>141</v>
      </c>
      <c r="K136" s="7">
        <v>45</v>
      </c>
      <c r="L136" s="37">
        <v>80</v>
      </c>
      <c r="M136" s="37">
        <v>3600</v>
      </c>
      <c r="N136" s="7">
        <v>60</v>
      </c>
      <c r="O136" s="7" t="s">
        <v>85</v>
      </c>
      <c r="P136" s="34">
        <v>45</v>
      </c>
      <c r="Q136" s="44"/>
      <c r="R136" s="34">
        <v>31620</v>
      </c>
      <c r="S136" s="32">
        <v>46096</v>
      </c>
      <c r="T136" s="34">
        <v>120</v>
      </c>
      <c r="U136" s="34">
        <v>60</v>
      </c>
      <c r="V136" s="34">
        <f t="shared" si="2"/>
        <v>0</v>
      </c>
    </row>
    <row r="137" spans="1:22" s="1" customFormat="1" x14ac:dyDescent="0.25">
      <c r="A137" s="33">
        <v>46096</v>
      </c>
      <c r="B137" s="9" t="s">
        <v>122</v>
      </c>
      <c r="C137" s="9" t="s">
        <v>212</v>
      </c>
      <c r="D137" s="35" t="s">
        <v>403</v>
      </c>
      <c r="E137" s="9" t="s">
        <v>120</v>
      </c>
      <c r="F137" s="35" t="s">
        <v>208</v>
      </c>
      <c r="G137" s="9" t="s">
        <v>56</v>
      </c>
      <c r="H137" s="9" t="s">
        <v>152</v>
      </c>
      <c r="I137" s="35">
        <v>6</v>
      </c>
      <c r="J137" s="9" t="s">
        <v>137</v>
      </c>
      <c r="K137" s="9">
        <v>45</v>
      </c>
      <c r="L137" s="38">
        <v>80</v>
      </c>
      <c r="M137" s="38">
        <v>3600</v>
      </c>
      <c r="N137" s="9">
        <v>60</v>
      </c>
      <c r="O137" s="9" t="s">
        <v>85</v>
      </c>
      <c r="P137" s="35">
        <v>45</v>
      </c>
      <c r="Q137" s="43"/>
      <c r="R137" s="35">
        <v>31560</v>
      </c>
      <c r="S137" s="33">
        <v>46096</v>
      </c>
      <c r="T137" s="35">
        <v>70</v>
      </c>
      <c r="U137" s="35">
        <v>10</v>
      </c>
      <c r="V137" s="35">
        <f t="shared" si="2"/>
        <v>0</v>
      </c>
    </row>
    <row r="138" spans="1:22" s="4" customFormat="1" x14ac:dyDescent="0.25">
      <c r="A138" s="32">
        <v>46093</v>
      </c>
      <c r="B138" s="7" t="s">
        <v>27</v>
      </c>
      <c r="C138" s="7" t="s">
        <v>36</v>
      </c>
      <c r="D138" s="34" t="s">
        <v>403</v>
      </c>
      <c r="E138" s="7" t="s">
        <v>120</v>
      </c>
      <c r="F138" s="34" t="s">
        <v>206</v>
      </c>
      <c r="G138" s="7" t="s">
        <v>55</v>
      </c>
      <c r="H138" s="7" t="s">
        <v>48</v>
      </c>
      <c r="I138" s="34">
        <v>6</v>
      </c>
      <c r="J138" s="7" t="s">
        <v>137</v>
      </c>
      <c r="K138" s="7">
        <v>60</v>
      </c>
      <c r="L138" s="37">
        <v>80</v>
      </c>
      <c r="M138" s="37">
        <v>4800</v>
      </c>
      <c r="N138" s="7">
        <v>80</v>
      </c>
      <c r="O138" s="7" t="s">
        <v>85</v>
      </c>
      <c r="P138" s="34">
        <v>60</v>
      </c>
      <c r="Q138" s="44"/>
      <c r="R138" s="34">
        <v>31600</v>
      </c>
      <c r="S138" s="32">
        <v>46093</v>
      </c>
      <c r="T138" s="34">
        <v>90</v>
      </c>
      <c r="U138" s="34">
        <v>10</v>
      </c>
      <c r="V138" s="34">
        <f t="shared" si="2"/>
        <v>0</v>
      </c>
    </row>
    <row r="139" spans="1:22" s="1" customFormat="1" x14ac:dyDescent="0.25">
      <c r="A139" s="33">
        <v>46096</v>
      </c>
      <c r="B139" s="9" t="s">
        <v>27</v>
      </c>
      <c r="C139" s="9" t="s">
        <v>36</v>
      </c>
      <c r="D139" s="35" t="s">
        <v>403</v>
      </c>
      <c r="E139" s="9" t="s">
        <v>120</v>
      </c>
      <c r="F139" s="35" t="s">
        <v>206</v>
      </c>
      <c r="G139" s="9" t="s">
        <v>55</v>
      </c>
      <c r="H139" s="9" t="s">
        <v>48</v>
      </c>
      <c r="I139" s="35">
        <v>8</v>
      </c>
      <c r="J139" s="9" t="s">
        <v>141</v>
      </c>
      <c r="K139" s="9">
        <v>60</v>
      </c>
      <c r="L139" s="38">
        <v>80</v>
      </c>
      <c r="M139" s="38">
        <v>4800</v>
      </c>
      <c r="N139" s="9">
        <v>80</v>
      </c>
      <c r="O139" s="9" t="s">
        <v>85</v>
      </c>
      <c r="P139" s="35">
        <v>60</v>
      </c>
      <c r="Q139" s="43"/>
      <c r="R139" s="35">
        <v>31520</v>
      </c>
      <c r="S139" s="33">
        <v>46096</v>
      </c>
      <c r="T139" s="35">
        <v>95</v>
      </c>
      <c r="U139" s="35">
        <v>15</v>
      </c>
      <c r="V139" s="35">
        <f t="shared" si="2"/>
        <v>0</v>
      </c>
    </row>
    <row r="140" spans="1:22" s="4" customFormat="1" x14ac:dyDescent="0.25">
      <c r="A140" s="32">
        <v>46096</v>
      </c>
      <c r="B140" s="7" t="s">
        <v>214</v>
      </c>
      <c r="C140" s="7" t="s">
        <v>215</v>
      </c>
      <c r="D140" s="34" t="s">
        <v>403</v>
      </c>
      <c r="E140" s="7" t="s">
        <v>120</v>
      </c>
      <c r="F140" s="34" t="s">
        <v>207</v>
      </c>
      <c r="G140" s="7" t="s">
        <v>55</v>
      </c>
      <c r="H140" s="7" t="s">
        <v>49</v>
      </c>
      <c r="I140" s="34">
        <v>8</v>
      </c>
      <c r="J140" s="7" t="s">
        <v>141</v>
      </c>
      <c r="K140" s="7">
        <v>30</v>
      </c>
      <c r="L140" s="37">
        <v>80</v>
      </c>
      <c r="M140" s="37">
        <v>2400</v>
      </c>
      <c r="N140" s="7">
        <v>40</v>
      </c>
      <c r="O140" s="7" t="s">
        <v>85</v>
      </c>
      <c r="P140" s="34">
        <v>30</v>
      </c>
      <c r="Q140" s="44"/>
      <c r="R140" s="34">
        <v>31640</v>
      </c>
      <c r="S140" s="32">
        <v>46091</v>
      </c>
      <c r="T140" s="34">
        <v>50</v>
      </c>
      <c r="U140" s="34">
        <v>10</v>
      </c>
      <c r="V140" s="34">
        <f t="shared" si="2"/>
        <v>0</v>
      </c>
    </row>
    <row r="141" spans="1:22" s="1" customFormat="1" x14ac:dyDescent="0.25">
      <c r="A141" s="33">
        <v>46096</v>
      </c>
      <c r="B141" s="9" t="s">
        <v>214</v>
      </c>
      <c r="C141" s="9" t="s">
        <v>215</v>
      </c>
      <c r="D141" s="35" t="s">
        <v>403</v>
      </c>
      <c r="E141" s="9" t="s">
        <v>120</v>
      </c>
      <c r="F141" s="35" t="s">
        <v>207</v>
      </c>
      <c r="G141" s="9" t="s">
        <v>55</v>
      </c>
      <c r="H141" s="9" t="s">
        <v>49</v>
      </c>
      <c r="I141" s="35">
        <v>6</v>
      </c>
      <c r="J141" s="9" t="s">
        <v>137</v>
      </c>
      <c r="K141" s="9">
        <v>30</v>
      </c>
      <c r="L141" s="38">
        <v>80</v>
      </c>
      <c r="M141" s="38">
        <v>2400</v>
      </c>
      <c r="N141" s="9">
        <v>40</v>
      </c>
      <c r="O141" s="9" t="s">
        <v>85</v>
      </c>
      <c r="P141" s="35">
        <v>30</v>
      </c>
      <c r="Q141" s="43"/>
      <c r="R141" s="35">
        <v>31600</v>
      </c>
      <c r="S141" s="33">
        <v>46096</v>
      </c>
      <c r="T141" s="35">
        <v>45</v>
      </c>
      <c r="U141" s="35">
        <v>5</v>
      </c>
      <c r="V141" s="35">
        <f t="shared" si="2"/>
        <v>0</v>
      </c>
    </row>
    <row r="142" spans="1:22" s="4" customFormat="1" x14ac:dyDescent="0.25">
      <c r="A142" s="32">
        <v>46096</v>
      </c>
      <c r="B142" s="7" t="s">
        <v>29</v>
      </c>
      <c r="C142" s="7" t="s">
        <v>38</v>
      </c>
      <c r="D142" s="34" t="s">
        <v>403</v>
      </c>
      <c r="E142" s="7" t="s">
        <v>120</v>
      </c>
      <c r="F142" s="34" t="s">
        <v>211</v>
      </c>
      <c r="G142" s="7" t="s">
        <v>56</v>
      </c>
      <c r="H142" s="7" t="s">
        <v>49</v>
      </c>
      <c r="I142" s="34">
        <v>13</v>
      </c>
      <c r="J142" s="7" t="s">
        <v>213</v>
      </c>
      <c r="K142" s="7">
        <v>30</v>
      </c>
      <c r="L142" s="37">
        <v>30</v>
      </c>
      <c r="M142" s="37">
        <v>900</v>
      </c>
      <c r="N142" s="7">
        <v>15</v>
      </c>
      <c r="O142" s="7" t="s">
        <v>85</v>
      </c>
      <c r="P142" s="34">
        <v>30</v>
      </c>
      <c r="Q142" s="44"/>
      <c r="R142" s="34">
        <v>31665</v>
      </c>
      <c r="S142" s="32">
        <v>46096</v>
      </c>
      <c r="T142" s="34">
        <v>20</v>
      </c>
      <c r="U142" s="34">
        <v>5</v>
      </c>
      <c r="V142" s="34">
        <f t="shared" si="2"/>
        <v>0</v>
      </c>
    </row>
    <row r="143" spans="1:22" s="1" customFormat="1" x14ac:dyDescent="0.25">
      <c r="A143" s="33">
        <v>46096</v>
      </c>
      <c r="B143" s="9" t="s">
        <v>29</v>
      </c>
      <c r="C143" s="9" t="s">
        <v>38</v>
      </c>
      <c r="D143" s="35" t="s">
        <v>403</v>
      </c>
      <c r="E143" s="9" t="s">
        <v>120</v>
      </c>
      <c r="F143" s="35" t="s">
        <v>206</v>
      </c>
      <c r="G143" s="9" t="s">
        <v>55</v>
      </c>
      <c r="H143" s="9" t="s">
        <v>48</v>
      </c>
      <c r="I143" s="35">
        <v>12</v>
      </c>
      <c r="J143" s="9" t="s">
        <v>149</v>
      </c>
      <c r="K143" s="9">
        <v>30</v>
      </c>
      <c r="L143" s="38">
        <v>40</v>
      </c>
      <c r="M143" s="38">
        <v>1200</v>
      </c>
      <c r="N143" s="9">
        <v>20</v>
      </c>
      <c r="O143" s="9" t="s">
        <v>85</v>
      </c>
      <c r="P143" s="35">
        <v>30</v>
      </c>
      <c r="Q143" s="43"/>
      <c r="R143" s="35">
        <v>31645</v>
      </c>
      <c r="S143" s="33">
        <v>46096</v>
      </c>
      <c r="T143" s="35">
        <v>30</v>
      </c>
      <c r="U143" s="35">
        <v>10</v>
      </c>
      <c r="V143" s="35">
        <f t="shared" si="2"/>
        <v>0</v>
      </c>
    </row>
    <row r="144" spans="1:22" s="4" customFormat="1" x14ac:dyDescent="0.25">
      <c r="A144" s="32">
        <v>46096</v>
      </c>
      <c r="B144" s="7" t="s">
        <v>122</v>
      </c>
      <c r="C144" s="7" t="s">
        <v>212</v>
      </c>
      <c r="D144" s="34" t="s">
        <v>403</v>
      </c>
      <c r="E144" s="7" t="s">
        <v>120</v>
      </c>
      <c r="F144" s="34" t="s">
        <v>211</v>
      </c>
      <c r="G144" s="7" t="s">
        <v>56</v>
      </c>
      <c r="H144" s="7" t="s">
        <v>49</v>
      </c>
      <c r="I144" s="34">
        <v>6</v>
      </c>
      <c r="J144" s="7" t="s">
        <v>137</v>
      </c>
      <c r="K144" s="7">
        <v>45</v>
      </c>
      <c r="L144" s="37">
        <v>80</v>
      </c>
      <c r="M144" s="37">
        <v>3600</v>
      </c>
      <c r="N144" s="7">
        <v>60</v>
      </c>
      <c r="O144" s="7" t="s">
        <v>85</v>
      </c>
      <c r="P144" s="34">
        <v>45</v>
      </c>
      <c r="Q144" s="44"/>
      <c r="R144" s="34">
        <v>31500</v>
      </c>
      <c r="S144" s="32">
        <v>46096</v>
      </c>
      <c r="T144" s="34">
        <v>80</v>
      </c>
      <c r="U144" s="34">
        <v>20</v>
      </c>
      <c r="V144" s="34">
        <f t="shared" si="2"/>
        <v>0</v>
      </c>
    </row>
    <row r="145" spans="1:22" s="1" customFormat="1" x14ac:dyDescent="0.25">
      <c r="A145" s="33">
        <v>46096</v>
      </c>
      <c r="B145" s="9" t="s">
        <v>122</v>
      </c>
      <c r="C145" s="9" t="s">
        <v>212</v>
      </c>
      <c r="D145" s="35" t="s">
        <v>403</v>
      </c>
      <c r="E145" s="9" t="s">
        <v>120</v>
      </c>
      <c r="F145" s="35" t="s">
        <v>211</v>
      </c>
      <c r="G145" s="9" t="s">
        <v>56</v>
      </c>
      <c r="H145" s="9" t="s">
        <v>49</v>
      </c>
      <c r="I145" s="35">
        <v>8</v>
      </c>
      <c r="J145" s="9" t="s">
        <v>141</v>
      </c>
      <c r="K145" s="9">
        <v>45</v>
      </c>
      <c r="L145" s="38">
        <v>80</v>
      </c>
      <c r="M145" s="38">
        <v>3600</v>
      </c>
      <c r="N145" s="9">
        <v>60</v>
      </c>
      <c r="O145" s="9" t="s">
        <v>52</v>
      </c>
      <c r="P145" s="35">
        <v>45</v>
      </c>
      <c r="Q145" s="43"/>
      <c r="R145" s="35">
        <v>31440</v>
      </c>
      <c r="S145" s="35"/>
      <c r="T145" s="35">
        <v>0</v>
      </c>
      <c r="U145" s="35">
        <v>0</v>
      </c>
      <c r="V145" s="35">
        <f t="shared" si="2"/>
        <v>0</v>
      </c>
    </row>
    <row r="146" spans="1:22" s="4" customFormat="1" x14ac:dyDescent="0.25">
      <c r="A146" s="32">
        <v>46096</v>
      </c>
      <c r="B146" s="7" t="s">
        <v>27</v>
      </c>
      <c r="C146" s="7" t="s">
        <v>36</v>
      </c>
      <c r="D146" s="34" t="s">
        <v>403</v>
      </c>
      <c r="E146" s="7" t="s">
        <v>120</v>
      </c>
      <c r="F146" s="34" t="s">
        <v>211</v>
      </c>
      <c r="G146" s="7" t="s">
        <v>56</v>
      </c>
      <c r="H146" s="7" t="s">
        <v>49</v>
      </c>
      <c r="I146" s="34">
        <v>5</v>
      </c>
      <c r="J146" s="7" t="s">
        <v>135</v>
      </c>
      <c r="K146" s="7">
        <v>45</v>
      </c>
      <c r="L146" s="37">
        <v>150</v>
      </c>
      <c r="M146" s="37">
        <v>6750</v>
      </c>
      <c r="N146" s="7">
        <v>112.5</v>
      </c>
      <c r="O146" s="7" t="s">
        <v>85</v>
      </c>
      <c r="P146" s="34">
        <v>45</v>
      </c>
      <c r="Q146" s="44"/>
      <c r="R146" s="34">
        <v>31487.5</v>
      </c>
      <c r="S146" s="32">
        <v>46096</v>
      </c>
      <c r="T146" s="34">
        <v>120</v>
      </c>
      <c r="U146" s="34">
        <v>7.5</v>
      </c>
      <c r="V146" s="34">
        <f t="shared" si="2"/>
        <v>0</v>
      </c>
    </row>
    <row r="147" spans="1:22" s="1" customFormat="1" x14ac:dyDescent="0.25">
      <c r="A147" s="33">
        <v>46096</v>
      </c>
      <c r="B147" s="9" t="s">
        <v>122</v>
      </c>
      <c r="C147" s="9" t="s">
        <v>418</v>
      </c>
      <c r="D147" s="35" t="s">
        <v>403</v>
      </c>
      <c r="E147" s="9" t="s">
        <v>120</v>
      </c>
      <c r="F147" s="35" t="s">
        <v>210</v>
      </c>
      <c r="G147" s="9" t="s">
        <v>56</v>
      </c>
      <c r="H147" s="9" t="s">
        <v>48</v>
      </c>
      <c r="I147" s="35">
        <v>3</v>
      </c>
      <c r="J147" s="9" t="s">
        <v>131</v>
      </c>
      <c r="K147" s="9">
        <v>90</v>
      </c>
      <c r="L147" s="38">
        <v>45</v>
      </c>
      <c r="M147" s="38">
        <v>4050</v>
      </c>
      <c r="N147" s="9">
        <v>67.5</v>
      </c>
      <c r="O147" s="9" t="s">
        <v>85</v>
      </c>
      <c r="P147" s="35">
        <v>90</v>
      </c>
      <c r="Q147" s="43"/>
      <c r="R147" s="35">
        <v>31532.5</v>
      </c>
      <c r="S147" s="33">
        <v>46096</v>
      </c>
      <c r="T147" s="35">
        <v>70</v>
      </c>
      <c r="U147" s="35">
        <v>2.5</v>
      </c>
      <c r="V147" s="35">
        <f t="shared" si="2"/>
        <v>0</v>
      </c>
    </row>
    <row r="148" spans="1:22" s="4" customFormat="1" x14ac:dyDescent="0.25">
      <c r="A148" s="32">
        <v>46096</v>
      </c>
      <c r="B148" s="7" t="s">
        <v>214</v>
      </c>
      <c r="C148" s="7" t="s">
        <v>401</v>
      </c>
      <c r="D148" s="34" t="s">
        <v>403</v>
      </c>
      <c r="E148" s="7" t="s">
        <v>120</v>
      </c>
      <c r="F148" s="34" t="s">
        <v>210</v>
      </c>
      <c r="G148" s="7" t="s">
        <v>56</v>
      </c>
      <c r="H148" s="7" t="s">
        <v>48</v>
      </c>
      <c r="I148" s="34">
        <v>8</v>
      </c>
      <c r="J148" s="7" t="s">
        <v>141</v>
      </c>
      <c r="K148" s="7">
        <v>90</v>
      </c>
      <c r="L148" s="37">
        <v>80</v>
      </c>
      <c r="M148" s="37">
        <v>7200</v>
      </c>
      <c r="N148" s="7">
        <v>120</v>
      </c>
      <c r="O148" s="7" t="s">
        <v>85</v>
      </c>
      <c r="P148" s="34">
        <v>90</v>
      </c>
      <c r="Q148" s="44"/>
      <c r="R148" s="34">
        <v>31413</v>
      </c>
      <c r="S148" s="32">
        <v>46096</v>
      </c>
      <c r="T148" s="34">
        <v>0</v>
      </c>
      <c r="U148" s="34">
        <v>-120</v>
      </c>
      <c r="V148" s="34">
        <f t="shared" si="2"/>
        <v>0</v>
      </c>
    </row>
    <row r="149" spans="1:22" s="1" customFormat="1" x14ac:dyDescent="0.25">
      <c r="A149" s="33">
        <v>46095</v>
      </c>
      <c r="B149" s="9" t="s">
        <v>214</v>
      </c>
      <c r="C149" s="9" t="s">
        <v>215</v>
      </c>
      <c r="D149" s="35" t="s">
        <v>403</v>
      </c>
      <c r="E149" s="9" t="s">
        <v>120</v>
      </c>
      <c r="F149" s="35" t="s">
        <v>209</v>
      </c>
      <c r="G149" s="9" t="s">
        <v>56</v>
      </c>
      <c r="H149" s="9" t="s">
        <v>51</v>
      </c>
      <c r="I149" s="35">
        <v>3</v>
      </c>
      <c r="J149" s="9" t="s">
        <v>131</v>
      </c>
      <c r="K149" s="9">
        <v>92</v>
      </c>
      <c r="L149" s="38">
        <v>45</v>
      </c>
      <c r="M149" s="38">
        <v>4140</v>
      </c>
      <c r="N149" s="9">
        <v>69</v>
      </c>
      <c r="O149" s="9" t="s">
        <v>85</v>
      </c>
      <c r="P149" s="35">
        <v>92</v>
      </c>
      <c r="Q149" s="43"/>
      <c r="R149" s="35">
        <v>31344</v>
      </c>
      <c r="S149" s="35"/>
      <c r="T149" s="35">
        <v>0</v>
      </c>
      <c r="U149" s="35">
        <v>0</v>
      </c>
      <c r="V149" s="35">
        <f t="shared" si="2"/>
        <v>0</v>
      </c>
    </row>
    <row r="150" spans="1:22" s="4" customFormat="1" x14ac:dyDescent="0.25">
      <c r="A150" s="32">
        <v>46096</v>
      </c>
      <c r="B150" s="7" t="s">
        <v>214</v>
      </c>
      <c r="C150" s="7" t="s">
        <v>215</v>
      </c>
      <c r="D150" s="34" t="s">
        <v>403</v>
      </c>
      <c r="E150" s="7" t="s">
        <v>120</v>
      </c>
      <c r="F150" s="34" t="s">
        <v>209</v>
      </c>
      <c r="G150" s="7" t="s">
        <v>56</v>
      </c>
      <c r="H150" s="7" t="s">
        <v>51</v>
      </c>
      <c r="I150" s="34">
        <v>8</v>
      </c>
      <c r="J150" s="7" t="s">
        <v>141</v>
      </c>
      <c r="K150" s="7">
        <v>92</v>
      </c>
      <c r="L150" s="37">
        <v>80</v>
      </c>
      <c r="M150" s="37">
        <v>7360</v>
      </c>
      <c r="N150" s="7">
        <v>122.66666666666667</v>
      </c>
      <c r="O150" s="7" t="s">
        <v>85</v>
      </c>
      <c r="P150" s="34">
        <v>92</v>
      </c>
      <c r="Q150" s="44"/>
      <c r="R150" s="34">
        <v>31221.333333333332</v>
      </c>
      <c r="S150" s="32">
        <v>46096</v>
      </c>
      <c r="T150" s="34">
        <v>250</v>
      </c>
      <c r="U150" s="34">
        <v>127.33333333333333</v>
      </c>
      <c r="V150" s="34">
        <f t="shared" si="2"/>
        <v>0</v>
      </c>
    </row>
    <row r="151" spans="1:22" s="1" customFormat="1" x14ac:dyDescent="0.25">
      <c r="A151" s="33">
        <v>46096</v>
      </c>
      <c r="B151" s="9" t="s">
        <v>214</v>
      </c>
      <c r="C151" s="9" t="s">
        <v>215</v>
      </c>
      <c r="D151" s="35" t="s">
        <v>403</v>
      </c>
      <c r="E151" s="9" t="s">
        <v>120</v>
      </c>
      <c r="F151" s="35" t="s">
        <v>209</v>
      </c>
      <c r="G151" s="9" t="s">
        <v>56</v>
      </c>
      <c r="H151" s="9" t="s">
        <v>51</v>
      </c>
      <c r="I151" s="35">
        <v>6</v>
      </c>
      <c r="J151" s="9" t="s">
        <v>137</v>
      </c>
      <c r="K151" s="9">
        <v>92</v>
      </c>
      <c r="L151" s="38">
        <v>80</v>
      </c>
      <c r="M151" s="38">
        <v>7360</v>
      </c>
      <c r="N151" s="9">
        <v>122.66666666666667</v>
      </c>
      <c r="O151" s="9" t="s">
        <v>85</v>
      </c>
      <c r="P151" s="35">
        <v>92</v>
      </c>
      <c r="Q151" s="43"/>
      <c r="R151" s="35">
        <v>31099.333333333332</v>
      </c>
      <c r="S151" s="33">
        <v>46096</v>
      </c>
      <c r="T151" s="35">
        <v>180</v>
      </c>
      <c r="U151" s="35">
        <v>57.333333333333329</v>
      </c>
      <c r="V151" s="35">
        <f t="shared" si="2"/>
        <v>0</v>
      </c>
    </row>
    <row r="152" spans="1:22" s="4" customFormat="1" x14ac:dyDescent="0.25">
      <c r="A152" s="32">
        <v>46096</v>
      </c>
      <c r="B152" s="7" t="s">
        <v>122</v>
      </c>
      <c r="C152" s="7" t="s">
        <v>212</v>
      </c>
      <c r="D152" s="34" t="s">
        <v>403</v>
      </c>
      <c r="E152" s="7" t="s">
        <v>120</v>
      </c>
      <c r="F152" s="34" t="s">
        <v>210</v>
      </c>
      <c r="G152" s="7" t="s">
        <v>56</v>
      </c>
      <c r="H152" s="7" t="s">
        <v>48</v>
      </c>
      <c r="I152" s="34">
        <v>6</v>
      </c>
      <c r="J152" s="7" t="s">
        <v>137</v>
      </c>
      <c r="K152" s="7">
        <v>90</v>
      </c>
      <c r="L152" s="37">
        <v>80</v>
      </c>
      <c r="M152" s="37">
        <v>7200</v>
      </c>
      <c r="N152" s="7">
        <v>120</v>
      </c>
      <c r="O152" s="7" t="s">
        <v>52</v>
      </c>
      <c r="P152" s="34">
        <v>0</v>
      </c>
      <c r="Q152" s="44"/>
      <c r="R152" s="34">
        <v>31253</v>
      </c>
      <c r="S152" s="34"/>
      <c r="T152" s="34">
        <v>0</v>
      </c>
      <c r="U152" s="34">
        <v>0</v>
      </c>
      <c r="V152" s="34">
        <f t="shared" si="2"/>
        <v>90</v>
      </c>
    </row>
    <row r="153" spans="1:22" s="1" customFormat="1" x14ac:dyDescent="0.25">
      <c r="A153" s="33">
        <v>46096</v>
      </c>
      <c r="B153" s="9" t="s">
        <v>27</v>
      </c>
      <c r="C153" s="9" t="s">
        <v>36</v>
      </c>
      <c r="D153" s="35" t="s">
        <v>403</v>
      </c>
      <c r="E153" s="9" t="s">
        <v>120</v>
      </c>
      <c r="F153" s="35" t="s">
        <v>210</v>
      </c>
      <c r="G153" s="9" t="s">
        <v>56</v>
      </c>
      <c r="H153" s="9" t="s">
        <v>48</v>
      </c>
      <c r="I153" s="35">
        <v>5</v>
      </c>
      <c r="J153" s="9" t="s">
        <v>135</v>
      </c>
      <c r="K153" s="9">
        <v>90</v>
      </c>
      <c r="L153" s="38">
        <v>150</v>
      </c>
      <c r="M153" s="38">
        <v>13500</v>
      </c>
      <c r="N153" s="9">
        <v>225</v>
      </c>
      <c r="O153" s="9" t="s">
        <v>52</v>
      </c>
      <c r="P153" s="35">
        <v>0</v>
      </c>
      <c r="Q153" s="43"/>
      <c r="R153" s="35">
        <v>31263</v>
      </c>
      <c r="S153" s="35"/>
      <c r="T153" s="35">
        <v>0</v>
      </c>
      <c r="U153" s="35">
        <v>0</v>
      </c>
      <c r="V153" s="35">
        <f t="shared" si="2"/>
        <v>90</v>
      </c>
    </row>
    <row r="154" spans="1:22" s="4" customFormat="1" x14ac:dyDescent="0.25">
      <c r="A154" s="32">
        <v>46096</v>
      </c>
      <c r="B154" s="7" t="s">
        <v>27</v>
      </c>
      <c r="C154" s="7" t="s">
        <v>36</v>
      </c>
      <c r="D154" s="34" t="s">
        <v>403</v>
      </c>
      <c r="E154" s="7" t="s">
        <v>120</v>
      </c>
      <c r="F154" s="34" t="s">
        <v>209</v>
      </c>
      <c r="G154" s="7" t="s">
        <v>56</v>
      </c>
      <c r="H154" s="7" t="s">
        <v>51</v>
      </c>
      <c r="I154" s="34">
        <v>5</v>
      </c>
      <c r="J154" s="7" t="s">
        <v>135</v>
      </c>
      <c r="K154" s="7">
        <v>92</v>
      </c>
      <c r="L154" s="37">
        <v>150</v>
      </c>
      <c r="M154" s="37">
        <v>13800</v>
      </c>
      <c r="N154" s="7">
        <v>230</v>
      </c>
      <c r="O154" s="7" t="s">
        <v>85</v>
      </c>
      <c r="P154" s="34">
        <v>92</v>
      </c>
      <c r="Q154" s="44"/>
      <c r="R154" s="34">
        <v>31033</v>
      </c>
      <c r="S154" s="32">
        <v>46096</v>
      </c>
      <c r="T154" s="34">
        <v>250</v>
      </c>
      <c r="U154" s="34">
        <v>20</v>
      </c>
      <c r="V154" s="34">
        <f t="shared" si="2"/>
        <v>0</v>
      </c>
    </row>
    <row r="155" spans="1:22" s="1" customFormat="1" x14ac:dyDescent="0.25">
      <c r="A155" s="33">
        <v>46096</v>
      </c>
      <c r="B155" s="9" t="s">
        <v>30</v>
      </c>
      <c r="C155" s="9" t="s">
        <v>40</v>
      </c>
      <c r="D155" s="35" t="s">
        <v>403</v>
      </c>
      <c r="E155" s="9" t="s">
        <v>120</v>
      </c>
      <c r="F155" s="35" t="s">
        <v>209</v>
      </c>
      <c r="G155" s="9" t="s">
        <v>56</v>
      </c>
      <c r="H155" s="9" t="s">
        <v>51</v>
      </c>
      <c r="I155" s="35">
        <v>9</v>
      </c>
      <c r="J155" s="9" t="s">
        <v>143</v>
      </c>
      <c r="K155" s="9">
        <v>92</v>
      </c>
      <c r="L155" s="38">
        <v>40</v>
      </c>
      <c r="M155" s="38">
        <v>3680</v>
      </c>
      <c r="N155" s="9">
        <v>61.333333333333336</v>
      </c>
      <c r="O155" s="9" t="s">
        <v>85</v>
      </c>
      <c r="P155" s="35">
        <v>92</v>
      </c>
      <c r="Q155" s="43"/>
      <c r="R155" s="35">
        <v>31618.666666666668</v>
      </c>
      <c r="S155" s="33">
        <v>46096</v>
      </c>
      <c r="T155" s="35">
        <v>70</v>
      </c>
      <c r="U155" s="35">
        <v>8.6666666666666643</v>
      </c>
      <c r="V155" s="35">
        <f t="shared" si="2"/>
        <v>0</v>
      </c>
    </row>
    <row r="156" spans="1:22" s="4" customFormat="1" x14ac:dyDescent="0.25">
      <c r="A156" s="32">
        <v>46096</v>
      </c>
      <c r="B156" s="7" t="s">
        <v>30</v>
      </c>
      <c r="C156" s="7" t="s">
        <v>40</v>
      </c>
      <c r="D156" s="34" t="s">
        <v>403</v>
      </c>
      <c r="E156" s="7" t="s">
        <v>120</v>
      </c>
      <c r="F156" s="34" t="s">
        <v>209</v>
      </c>
      <c r="G156" s="7" t="s">
        <v>56</v>
      </c>
      <c r="H156" s="7" t="s">
        <v>51</v>
      </c>
      <c r="I156" s="34">
        <v>10</v>
      </c>
      <c r="J156" s="7" t="s">
        <v>145</v>
      </c>
      <c r="K156" s="7">
        <v>92</v>
      </c>
      <c r="L156" s="37">
        <v>60</v>
      </c>
      <c r="M156" s="37">
        <v>5520</v>
      </c>
      <c r="N156" s="7">
        <v>92</v>
      </c>
      <c r="O156" s="7" t="s">
        <v>85</v>
      </c>
      <c r="P156" s="34">
        <v>92</v>
      </c>
      <c r="Q156" s="44"/>
      <c r="R156" s="34">
        <v>31527</v>
      </c>
      <c r="S156" s="32">
        <v>46096</v>
      </c>
      <c r="T156" s="34">
        <v>95</v>
      </c>
      <c r="U156" s="34">
        <v>3</v>
      </c>
      <c r="V156" s="34">
        <f t="shared" si="2"/>
        <v>0</v>
      </c>
    </row>
    <row r="157" spans="1:22" s="1" customFormat="1" x14ac:dyDescent="0.25">
      <c r="A157" s="33">
        <v>46096</v>
      </c>
      <c r="B157" s="9" t="s">
        <v>30</v>
      </c>
      <c r="C157" s="9" t="s">
        <v>40</v>
      </c>
      <c r="D157" s="35" t="s">
        <v>403</v>
      </c>
      <c r="E157" s="9" t="s">
        <v>120</v>
      </c>
      <c r="F157" s="35" t="s">
        <v>209</v>
      </c>
      <c r="G157" s="9" t="s">
        <v>56</v>
      </c>
      <c r="H157" s="9" t="s">
        <v>51</v>
      </c>
      <c r="I157" s="35">
        <v>11</v>
      </c>
      <c r="J157" s="9" t="s">
        <v>147</v>
      </c>
      <c r="K157" s="9">
        <v>92</v>
      </c>
      <c r="L157" s="38">
        <v>60</v>
      </c>
      <c r="M157" s="38">
        <v>5520</v>
      </c>
      <c r="N157" s="9">
        <v>92</v>
      </c>
      <c r="O157" s="9" t="s">
        <v>85</v>
      </c>
      <c r="P157" s="35">
        <v>92</v>
      </c>
      <c r="Q157" s="43"/>
      <c r="R157" s="35">
        <v>31435</v>
      </c>
      <c r="S157" s="33">
        <v>46096</v>
      </c>
      <c r="T157" s="35">
        <v>120</v>
      </c>
      <c r="U157" s="35">
        <v>28</v>
      </c>
      <c r="V157" s="35">
        <f t="shared" si="2"/>
        <v>0</v>
      </c>
    </row>
    <row r="158" spans="1:22" s="4" customFormat="1" x14ac:dyDescent="0.25">
      <c r="A158" s="32">
        <v>46096</v>
      </c>
      <c r="B158" s="7" t="s">
        <v>214</v>
      </c>
      <c r="C158" s="7" t="s">
        <v>215</v>
      </c>
      <c r="D158" s="34" t="s">
        <v>403</v>
      </c>
      <c r="E158" s="7" t="s">
        <v>120</v>
      </c>
      <c r="F158" s="34" t="s">
        <v>209</v>
      </c>
      <c r="G158" s="7" t="s">
        <v>56</v>
      </c>
      <c r="H158" s="7" t="s">
        <v>51</v>
      </c>
      <c r="I158" s="34">
        <v>12</v>
      </c>
      <c r="J158" s="7" t="s">
        <v>149</v>
      </c>
      <c r="K158" s="7">
        <v>62</v>
      </c>
      <c r="L158" s="37">
        <v>40</v>
      </c>
      <c r="M158" s="37">
        <v>2480</v>
      </c>
      <c r="N158" s="7">
        <v>41.333333333333336</v>
      </c>
      <c r="O158" s="7" t="s">
        <v>52</v>
      </c>
      <c r="P158" s="34">
        <v>0</v>
      </c>
      <c r="Q158" s="44"/>
      <c r="R158" s="34">
        <v>31125.666666666668</v>
      </c>
      <c r="S158" s="34"/>
      <c r="T158" s="34">
        <v>0</v>
      </c>
      <c r="U158" s="34">
        <v>0</v>
      </c>
      <c r="V158" s="34">
        <f t="shared" si="2"/>
        <v>62</v>
      </c>
    </row>
    <row r="159" spans="1:22" s="1" customFormat="1" x14ac:dyDescent="0.25">
      <c r="A159" s="33">
        <v>46096</v>
      </c>
      <c r="B159" s="9" t="s">
        <v>30</v>
      </c>
      <c r="C159" s="9" t="s">
        <v>40</v>
      </c>
      <c r="D159" s="35" t="s">
        <v>403</v>
      </c>
      <c r="E159" s="9" t="s">
        <v>120</v>
      </c>
      <c r="F159" s="35" t="s">
        <v>209</v>
      </c>
      <c r="G159" s="9" t="s">
        <v>56</v>
      </c>
      <c r="H159" s="9" t="s">
        <v>51</v>
      </c>
      <c r="I159" s="35">
        <v>13</v>
      </c>
      <c r="J159" s="9" t="s">
        <v>213</v>
      </c>
      <c r="K159" s="9">
        <v>92</v>
      </c>
      <c r="L159" s="38">
        <v>30</v>
      </c>
      <c r="M159" s="38">
        <v>2760</v>
      </c>
      <c r="N159" s="9">
        <v>46</v>
      </c>
      <c r="O159" s="9" t="s">
        <v>52</v>
      </c>
      <c r="P159" s="35">
        <v>0</v>
      </c>
      <c r="Q159" s="43"/>
      <c r="R159" s="35">
        <v>31389</v>
      </c>
      <c r="S159" s="35"/>
      <c r="T159" s="35">
        <v>0</v>
      </c>
      <c r="U159" s="35">
        <v>0</v>
      </c>
      <c r="V159" s="35">
        <f t="shared" si="2"/>
        <v>92</v>
      </c>
    </row>
    <row r="160" spans="1:22" s="4" customFormat="1" x14ac:dyDescent="0.25">
      <c r="A160" s="32">
        <v>46093</v>
      </c>
      <c r="B160" s="7" t="s">
        <v>29</v>
      </c>
      <c r="C160" s="7" t="s">
        <v>38</v>
      </c>
      <c r="D160" s="34" t="s">
        <v>217</v>
      </c>
      <c r="E160" s="7" t="s">
        <v>218</v>
      </c>
      <c r="F160" s="34" t="s">
        <v>234</v>
      </c>
      <c r="G160" s="7" t="s">
        <v>55</v>
      </c>
      <c r="H160" s="7" t="s">
        <v>51</v>
      </c>
      <c r="I160" s="34">
        <v>1</v>
      </c>
      <c r="J160" s="7" t="s">
        <v>57</v>
      </c>
      <c r="K160" s="7">
        <v>127</v>
      </c>
      <c r="L160" s="37">
        <v>40</v>
      </c>
      <c r="M160" s="37">
        <v>5080</v>
      </c>
      <c r="N160" s="7">
        <v>84.666666666666671</v>
      </c>
      <c r="O160" s="7" t="s">
        <v>85</v>
      </c>
      <c r="P160" s="34">
        <v>127</v>
      </c>
      <c r="Q160" s="44"/>
      <c r="R160" s="34">
        <v>31561.666666666668</v>
      </c>
      <c r="S160" s="32">
        <v>46093</v>
      </c>
      <c r="T160" s="34">
        <v>90</v>
      </c>
      <c r="U160" s="34">
        <v>5.3333333333333286</v>
      </c>
      <c r="V160" s="34">
        <f t="shared" si="2"/>
        <v>0</v>
      </c>
    </row>
    <row r="161" spans="1:22" s="1" customFormat="1" x14ac:dyDescent="0.25">
      <c r="A161" s="33">
        <v>46093</v>
      </c>
      <c r="B161" s="9" t="s">
        <v>29</v>
      </c>
      <c r="C161" s="9" t="s">
        <v>38</v>
      </c>
      <c r="D161" s="35" t="s">
        <v>217</v>
      </c>
      <c r="E161" s="9" t="s">
        <v>218</v>
      </c>
      <c r="F161" s="35" t="s">
        <v>236</v>
      </c>
      <c r="G161" s="9" t="s">
        <v>55</v>
      </c>
      <c r="H161" s="9" t="s">
        <v>48</v>
      </c>
      <c r="I161" s="35">
        <v>1</v>
      </c>
      <c r="J161" s="9" t="s">
        <v>57</v>
      </c>
      <c r="K161" s="9">
        <v>200</v>
      </c>
      <c r="L161" s="38">
        <v>40</v>
      </c>
      <c r="M161" s="38">
        <v>8000</v>
      </c>
      <c r="N161" s="9">
        <v>133.33333333333334</v>
      </c>
      <c r="O161" s="9" t="s">
        <v>85</v>
      </c>
      <c r="P161" s="35">
        <v>200</v>
      </c>
      <c r="Q161" s="43"/>
      <c r="R161" s="35">
        <v>31428.666666666668</v>
      </c>
      <c r="S161" s="33">
        <v>46093</v>
      </c>
      <c r="T161" s="35">
        <v>140</v>
      </c>
      <c r="U161" s="35">
        <v>6.6666666666666572</v>
      </c>
      <c r="V161" s="35">
        <f t="shared" si="2"/>
        <v>0</v>
      </c>
    </row>
    <row r="162" spans="1:22" s="4" customFormat="1" x14ac:dyDescent="0.25">
      <c r="A162" s="32">
        <v>46093</v>
      </c>
      <c r="B162" s="7" t="s">
        <v>29</v>
      </c>
      <c r="C162" s="7" t="s">
        <v>38</v>
      </c>
      <c r="D162" s="34" t="s">
        <v>217</v>
      </c>
      <c r="E162" s="7" t="s">
        <v>218</v>
      </c>
      <c r="F162" s="34" t="s">
        <v>237</v>
      </c>
      <c r="G162" s="7" t="s">
        <v>55</v>
      </c>
      <c r="H162" s="7" t="s">
        <v>49</v>
      </c>
      <c r="I162" s="34">
        <v>1</v>
      </c>
      <c r="J162" s="7" t="s">
        <v>57</v>
      </c>
      <c r="K162" s="7">
        <v>127</v>
      </c>
      <c r="L162" s="37">
        <v>40</v>
      </c>
      <c r="M162" s="37">
        <v>5080</v>
      </c>
      <c r="N162" s="7">
        <v>84.666666666666671</v>
      </c>
      <c r="O162" s="7" t="s">
        <v>85</v>
      </c>
      <c r="P162" s="34">
        <v>127</v>
      </c>
      <c r="Q162" s="44"/>
      <c r="R162" s="34">
        <v>31344.333333333332</v>
      </c>
      <c r="S162" s="32">
        <v>46093</v>
      </c>
      <c r="T162" s="34">
        <v>90</v>
      </c>
      <c r="U162" s="34">
        <v>5.3333333333333286</v>
      </c>
      <c r="V162" s="34">
        <f t="shared" si="2"/>
        <v>0</v>
      </c>
    </row>
    <row r="163" spans="1:22" s="1" customFormat="1" x14ac:dyDescent="0.25">
      <c r="A163" s="33">
        <v>46093</v>
      </c>
      <c r="B163" s="9" t="s">
        <v>29</v>
      </c>
      <c r="C163" s="9" t="s">
        <v>38</v>
      </c>
      <c r="D163" s="35" t="s">
        <v>217</v>
      </c>
      <c r="E163" s="9" t="s">
        <v>218</v>
      </c>
      <c r="F163" s="35" t="s">
        <v>238</v>
      </c>
      <c r="G163" s="9" t="s">
        <v>55</v>
      </c>
      <c r="H163" s="9" t="s">
        <v>50</v>
      </c>
      <c r="I163" s="35">
        <v>1</v>
      </c>
      <c r="J163" s="9" t="s">
        <v>57</v>
      </c>
      <c r="K163" s="9">
        <v>64</v>
      </c>
      <c r="L163" s="38">
        <v>40</v>
      </c>
      <c r="M163" s="38">
        <v>2560</v>
      </c>
      <c r="N163" s="9">
        <v>42.666666666666664</v>
      </c>
      <c r="O163" s="9" t="s">
        <v>85</v>
      </c>
      <c r="P163" s="35">
        <v>64</v>
      </c>
      <c r="Q163" s="43"/>
      <c r="R163" s="35">
        <v>31302.333333333332</v>
      </c>
      <c r="S163" s="33">
        <v>46093</v>
      </c>
      <c r="T163" s="35">
        <v>45</v>
      </c>
      <c r="U163" s="35">
        <v>2.3333333333333357</v>
      </c>
      <c r="V163" s="35">
        <f t="shared" si="2"/>
        <v>0</v>
      </c>
    </row>
    <row r="164" spans="1:22" s="4" customFormat="1" x14ac:dyDescent="0.25">
      <c r="A164" s="32">
        <v>46093</v>
      </c>
      <c r="B164" s="7" t="s">
        <v>29</v>
      </c>
      <c r="C164" s="7" t="s">
        <v>38</v>
      </c>
      <c r="D164" s="34" t="s">
        <v>217</v>
      </c>
      <c r="E164" s="7" t="s">
        <v>218</v>
      </c>
      <c r="F164" s="34" t="s">
        <v>234</v>
      </c>
      <c r="G164" s="7" t="s">
        <v>55</v>
      </c>
      <c r="H164" s="7" t="s">
        <v>51</v>
      </c>
      <c r="I164" s="34">
        <v>2</v>
      </c>
      <c r="J164" s="7" t="s">
        <v>220</v>
      </c>
      <c r="K164" s="7">
        <v>127</v>
      </c>
      <c r="L164" s="37">
        <v>40</v>
      </c>
      <c r="M164" s="37">
        <v>5080</v>
      </c>
      <c r="N164" s="7">
        <v>84.666666666666671</v>
      </c>
      <c r="O164" s="7" t="s">
        <v>85</v>
      </c>
      <c r="P164" s="34">
        <v>127</v>
      </c>
      <c r="Q164" s="44"/>
      <c r="R164" s="34">
        <v>31301.333333333332</v>
      </c>
      <c r="S164" s="32">
        <v>46093</v>
      </c>
      <c r="T164" s="34">
        <v>90</v>
      </c>
      <c r="U164" s="34">
        <v>5.3333333333333286</v>
      </c>
      <c r="V164" s="34">
        <f t="shared" si="2"/>
        <v>0</v>
      </c>
    </row>
    <row r="165" spans="1:22" s="1" customFormat="1" x14ac:dyDescent="0.25">
      <c r="A165" s="33">
        <v>46093</v>
      </c>
      <c r="B165" s="9" t="s">
        <v>122</v>
      </c>
      <c r="C165" s="9" t="s">
        <v>212</v>
      </c>
      <c r="D165" s="35" t="s">
        <v>217</v>
      </c>
      <c r="E165" s="9" t="s">
        <v>218</v>
      </c>
      <c r="F165" s="35" t="s">
        <v>234</v>
      </c>
      <c r="G165" s="9" t="s">
        <v>55</v>
      </c>
      <c r="H165" s="9" t="s">
        <v>51</v>
      </c>
      <c r="I165" s="35">
        <v>3</v>
      </c>
      <c r="J165" s="9" t="s">
        <v>221</v>
      </c>
      <c r="K165" s="9">
        <v>127</v>
      </c>
      <c r="L165" s="38">
        <v>30</v>
      </c>
      <c r="M165" s="38">
        <v>3810</v>
      </c>
      <c r="N165" s="9">
        <v>63.5</v>
      </c>
      <c r="O165" s="9" t="s">
        <v>85</v>
      </c>
      <c r="P165" s="35">
        <v>127</v>
      </c>
      <c r="Q165" s="43"/>
      <c r="R165" s="35">
        <v>31189.5</v>
      </c>
      <c r="S165" s="33">
        <v>46093</v>
      </c>
      <c r="T165" s="35">
        <v>80</v>
      </c>
      <c r="U165" s="35">
        <v>16.5</v>
      </c>
      <c r="V165" s="35">
        <f t="shared" si="2"/>
        <v>0</v>
      </c>
    </row>
    <row r="166" spans="1:22" s="4" customFormat="1" x14ac:dyDescent="0.25">
      <c r="A166" s="32">
        <v>46093</v>
      </c>
      <c r="B166" s="7" t="s">
        <v>29</v>
      </c>
      <c r="C166" s="7" t="s">
        <v>38</v>
      </c>
      <c r="D166" s="34" t="s">
        <v>217</v>
      </c>
      <c r="E166" s="7" t="s">
        <v>218</v>
      </c>
      <c r="F166" s="34" t="s">
        <v>236</v>
      </c>
      <c r="G166" s="7" t="s">
        <v>55</v>
      </c>
      <c r="H166" s="7" t="s">
        <v>48</v>
      </c>
      <c r="I166" s="34">
        <v>2</v>
      </c>
      <c r="J166" s="7" t="s">
        <v>220</v>
      </c>
      <c r="K166" s="7">
        <v>200</v>
      </c>
      <c r="L166" s="37">
        <v>40</v>
      </c>
      <c r="M166" s="37">
        <v>8000</v>
      </c>
      <c r="N166" s="7">
        <v>133.33333333333334</v>
      </c>
      <c r="O166" s="7" t="s">
        <v>85</v>
      </c>
      <c r="P166" s="34">
        <v>200</v>
      </c>
      <c r="Q166" s="44"/>
      <c r="R166" s="34">
        <v>31252.666666666668</v>
      </c>
      <c r="S166" s="32">
        <v>46093</v>
      </c>
      <c r="T166" s="34">
        <v>150</v>
      </c>
      <c r="U166" s="34">
        <v>16.666666666666657</v>
      </c>
      <c r="V166" s="34">
        <f t="shared" si="2"/>
        <v>0</v>
      </c>
    </row>
    <row r="167" spans="1:22" s="1" customFormat="1" x14ac:dyDescent="0.25">
      <c r="A167" s="33">
        <v>46093</v>
      </c>
      <c r="B167" s="9" t="s">
        <v>30</v>
      </c>
      <c r="C167" s="9" t="s">
        <v>40</v>
      </c>
      <c r="D167" s="35" t="s">
        <v>217</v>
      </c>
      <c r="E167" s="9" t="s">
        <v>218</v>
      </c>
      <c r="F167" s="35" t="s">
        <v>236</v>
      </c>
      <c r="G167" s="9" t="s">
        <v>55</v>
      </c>
      <c r="H167" s="9" t="s">
        <v>48</v>
      </c>
      <c r="I167" s="35">
        <v>3</v>
      </c>
      <c r="J167" s="9" t="s">
        <v>221</v>
      </c>
      <c r="K167" s="9">
        <v>200</v>
      </c>
      <c r="L167" s="38">
        <v>30</v>
      </c>
      <c r="M167" s="38">
        <v>6000</v>
      </c>
      <c r="N167" s="9">
        <v>100</v>
      </c>
      <c r="O167" s="9" t="s">
        <v>85</v>
      </c>
      <c r="P167" s="35">
        <v>200</v>
      </c>
      <c r="Q167" s="43"/>
      <c r="R167" s="35">
        <v>31153</v>
      </c>
      <c r="S167" s="33">
        <v>46093</v>
      </c>
      <c r="T167" s="35">
        <v>120</v>
      </c>
      <c r="U167" s="35">
        <v>20</v>
      </c>
      <c r="V167" s="35">
        <f t="shared" si="2"/>
        <v>0</v>
      </c>
    </row>
    <row r="168" spans="1:22" s="4" customFormat="1" x14ac:dyDescent="0.25">
      <c r="A168" s="32">
        <v>46093</v>
      </c>
      <c r="B168" s="7" t="s">
        <v>122</v>
      </c>
      <c r="C168" s="7" t="s">
        <v>212</v>
      </c>
      <c r="D168" s="34" t="s">
        <v>217</v>
      </c>
      <c r="E168" s="7" t="s">
        <v>218</v>
      </c>
      <c r="F168" s="34" t="s">
        <v>234</v>
      </c>
      <c r="G168" s="7" t="s">
        <v>55</v>
      </c>
      <c r="H168" s="7" t="s">
        <v>51</v>
      </c>
      <c r="I168" s="34">
        <v>4</v>
      </c>
      <c r="J168" s="7" t="s">
        <v>222</v>
      </c>
      <c r="K168" s="7">
        <v>127</v>
      </c>
      <c r="L168" s="37">
        <v>30</v>
      </c>
      <c r="M168" s="37">
        <v>3810</v>
      </c>
      <c r="N168" s="7">
        <v>63.5</v>
      </c>
      <c r="O168" s="7" t="s">
        <v>85</v>
      </c>
      <c r="P168" s="34">
        <v>127</v>
      </c>
      <c r="Q168" s="44"/>
      <c r="R168" s="34">
        <v>31189.5</v>
      </c>
      <c r="S168" s="32">
        <v>46093</v>
      </c>
      <c r="T168" s="34">
        <v>70</v>
      </c>
      <c r="U168" s="34">
        <v>6.5</v>
      </c>
      <c r="V168" s="34">
        <f t="shared" si="2"/>
        <v>0</v>
      </c>
    </row>
    <row r="169" spans="1:22" s="1" customFormat="1" x14ac:dyDescent="0.25">
      <c r="A169" s="33">
        <v>46093</v>
      </c>
      <c r="B169" s="9" t="s">
        <v>122</v>
      </c>
      <c r="C169" s="9" t="s">
        <v>212</v>
      </c>
      <c r="D169" s="35" t="s">
        <v>217</v>
      </c>
      <c r="E169" s="9" t="s">
        <v>218</v>
      </c>
      <c r="F169" s="35" t="s">
        <v>236</v>
      </c>
      <c r="G169" s="9" t="s">
        <v>55</v>
      </c>
      <c r="H169" s="9" t="s">
        <v>48</v>
      </c>
      <c r="I169" s="35">
        <v>4</v>
      </c>
      <c r="J169" s="9" t="s">
        <v>222</v>
      </c>
      <c r="K169" s="9">
        <v>200</v>
      </c>
      <c r="L169" s="38">
        <v>30</v>
      </c>
      <c r="M169" s="38">
        <v>6000</v>
      </c>
      <c r="N169" s="9">
        <v>100</v>
      </c>
      <c r="O169" s="9" t="s">
        <v>85</v>
      </c>
      <c r="P169" s="35">
        <v>200</v>
      </c>
      <c r="Q169" s="43"/>
      <c r="R169" s="35">
        <v>31090</v>
      </c>
      <c r="S169" s="33">
        <v>46093</v>
      </c>
      <c r="T169" s="35">
        <v>120</v>
      </c>
      <c r="U169" s="35">
        <v>20</v>
      </c>
      <c r="V169" s="35">
        <f t="shared" si="2"/>
        <v>0</v>
      </c>
    </row>
    <row r="170" spans="1:22" s="4" customFormat="1" x14ac:dyDescent="0.25">
      <c r="A170" s="32">
        <v>46093</v>
      </c>
      <c r="B170" s="7" t="s">
        <v>122</v>
      </c>
      <c r="C170" s="7" t="s">
        <v>212</v>
      </c>
      <c r="D170" s="34" t="s">
        <v>217</v>
      </c>
      <c r="E170" s="7" t="s">
        <v>218</v>
      </c>
      <c r="F170" s="34" t="s">
        <v>237</v>
      </c>
      <c r="G170" s="7" t="s">
        <v>55</v>
      </c>
      <c r="H170" s="7" t="s">
        <v>49</v>
      </c>
      <c r="I170" s="34">
        <v>4</v>
      </c>
      <c r="J170" s="7" t="s">
        <v>222</v>
      </c>
      <c r="K170" s="7">
        <v>127</v>
      </c>
      <c r="L170" s="37">
        <v>30</v>
      </c>
      <c r="M170" s="37">
        <v>3810</v>
      </c>
      <c r="N170" s="7">
        <v>63.5</v>
      </c>
      <c r="O170" s="7" t="s">
        <v>85</v>
      </c>
      <c r="P170" s="34">
        <v>127</v>
      </c>
      <c r="Q170" s="44"/>
      <c r="R170" s="34">
        <v>31026.5</v>
      </c>
      <c r="S170" s="32">
        <v>46093</v>
      </c>
      <c r="T170" s="34">
        <v>65</v>
      </c>
      <c r="U170" s="34">
        <v>1.5</v>
      </c>
      <c r="V170" s="34">
        <f t="shared" si="2"/>
        <v>0</v>
      </c>
    </row>
    <row r="171" spans="1:22" s="1" customFormat="1" x14ac:dyDescent="0.25">
      <c r="A171" s="33">
        <v>46093</v>
      </c>
      <c r="B171" s="9" t="s">
        <v>122</v>
      </c>
      <c r="C171" s="9" t="s">
        <v>212</v>
      </c>
      <c r="D171" s="35" t="s">
        <v>217</v>
      </c>
      <c r="E171" s="9" t="s">
        <v>218</v>
      </c>
      <c r="F171" s="35" t="s">
        <v>238</v>
      </c>
      <c r="G171" s="9" t="s">
        <v>55</v>
      </c>
      <c r="H171" s="9" t="s">
        <v>50</v>
      </c>
      <c r="I171" s="35">
        <v>4</v>
      </c>
      <c r="J171" s="9" t="s">
        <v>222</v>
      </c>
      <c r="K171" s="9">
        <v>64</v>
      </c>
      <c r="L171" s="38">
        <v>30</v>
      </c>
      <c r="M171" s="38">
        <v>1920</v>
      </c>
      <c r="N171" s="9">
        <v>32</v>
      </c>
      <c r="O171" s="9" t="s">
        <v>85</v>
      </c>
      <c r="P171" s="35">
        <v>64</v>
      </c>
      <c r="Q171" s="43"/>
      <c r="R171" s="35">
        <v>30995</v>
      </c>
      <c r="S171" s="33">
        <v>46093</v>
      </c>
      <c r="T171" s="35">
        <v>35</v>
      </c>
      <c r="U171" s="35">
        <v>3</v>
      </c>
      <c r="V171" s="35">
        <f t="shared" si="2"/>
        <v>0</v>
      </c>
    </row>
    <row r="172" spans="1:22" s="4" customFormat="1" x14ac:dyDescent="0.25">
      <c r="A172" s="32">
        <v>46096</v>
      </c>
      <c r="B172" s="7" t="s">
        <v>29</v>
      </c>
      <c r="C172" s="7" t="s">
        <v>38</v>
      </c>
      <c r="D172" s="34" t="s">
        <v>217</v>
      </c>
      <c r="E172" s="7" t="s">
        <v>218</v>
      </c>
      <c r="F172" s="34" t="s">
        <v>237</v>
      </c>
      <c r="G172" s="7" t="s">
        <v>55</v>
      </c>
      <c r="H172" s="7" t="s">
        <v>49</v>
      </c>
      <c r="I172" s="34">
        <v>2</v>
      </c>
      <c r="J172" s="7" t="s">
        <v>220</v>
      </c>
      <c r="K172" s="7">
        <v>127</v>
      </c>
      <c r="L172" s="37">
        <v>40</v>
      </c>
      <c r="M172" s="37">
        <v>5080</v>
      </c>
      <c r="N172" s="7">
        <v>84.666666666666671</v>
      </c>
      <c r="O172" s="7" t="s">
        <v>85</v>
      </c>
      <c r="P172" s="34">
        <v>127</v>
      </c>
      <c r="Q172" s="44"/>
      <c r="R172" s="34">
        <v>31560.333333333332</v>
      </c>
      <c r="S172" s="32">
        <v>46097</v>
      </c>
      <c r="T172" s="34">
        <v>90</v>
      </c>
      <c r="U172" s="34">
        <v>5.3333333333333286</v>
      </c>
      <c r="V172" s="34">
        <f t="shared" si="2"/>
        <v>0</v>
      </c>
    </row>
    <row r="173" spans="1:22" s="1" customFormat="1" x14ac:dyDescent="0.25">
      <c r="A173" s="33">
        <v>46097</v>
      </c>
      <c r="B173" s="9" t="s">
        <v>122</v>
      </c>
      <c r="C173" s="9" t="s">
        <v>212</v>
      </c>
      <c r="D173" s="35" t="s">
        <v>403</v>
      </c>
      <c r="E173" s="9" t="s">
        <v>120</v>
      </c>
      <c r="F173" s="35" t="s">
        <v>210</v>
      </c>
      <c r="G173" s="9" t="s">
        <v>56</v>
      </c>
      <c r="H173" s="9" t="s">
        <v>48</v>
      </c>
      <c r="I173" s="35">
        <v>11</v>
      </c>
      <c r="J173" s="9" t="s">
        <v>147</v>
      </c>
      <c r="K173" s="9">
        <v>90</v>
      </c>
      <c r="L173" s="38">
        <v>60</v>
      </c>
      <c r="M173" s="38">
        <v>5400</v>
      </c>
      <c r="N173" s="9">
        <v>90</v>
      </c>
      <c r="O173" s="9" t="s">
        <v>52</v>
      </c>
      <c r="P173" s="35">
        <v>0</v>
      </c>
      <c r="Q173" s="43"/>
      <c r="R173" s="35">
        <v>31590</v>
      </c>
      <c r="S173" s="35"/>
      <c r="T173" s="35">
        <v>0</v>
      </c>
      <c r="U173" s="35">
        <v>0</v>
      </c>
      <c r="V173" s="35">
        <f t="shared" si="2"/>
        <v>90</v>
      </c>
    </row>
    <row r="174" spans="1:22" s="4" customFormat="1" x14ac:dyDescent="0.25">
      <c r="A174" s="32">
        <v>46097</v>
      </c>
      <c r="B174" s="7" t="s">
        <v>122</v>
      </c>
      <c r="C174" s="7" t="s">
        <v>212</v>
      </c>
      <c r="D174" s="34" t="s">
        <v>403</v>
      </c>
      <c r="E174" s="7" t="s">
        <v>120</v>
      </c>
      <c r="F174" s="34" t="s">
        <v>211</v>
      </c>
      <c r="G174" s="7" t="s">
        <v>56</v>
      </c>
      <c r="H174" s="7" t="s">
        <v>49</v>
      </c>
      <c r="I174" s="34">
        <v>11</v>
      </c>
      <c r="J174" s="7" t="s">
        <v>147</v>
      </c>
      <c r="K174" s="7">
        <v>45</v>
      </c>
      <c r="L174" s="37">
        <v>60</v>
      </c>
      <c r="M174" s="37">
        <v>2700</v>
      </c>
      <c r="N174" s="7">
        <v>45</v>
      </c>
      <c r="O174" s="7" t="s">
        <v>85</v>
      </c>
      <c r="P174" s="34">
        <v>45</v>
      </c>
      <c r="Q174" s="44"/>
      <c r="R174" s="34">
        <v>31545</v>
      </c>
      <c r="S174" s="32">
        <v>46097</v>
      </c>
      <c r="T174" s="34">
        <v>60</v>
      </c>
      <c r="U174" s="34">
        <v>15</v>
      </c>
      <c r="V174" s="34">
        <f t="shared" si="2"/>
        <v>0</v>
      </c>
    </row>
    <row r="175" spans="1:22" s="1" customFormat="1" x14ac:dyDescent="0.25">
      <c r="A175" s="33">
        <v>46097</v>
      </c>
      <c r="B175" s="9" t="s">
        <v>214</v>
      </c>
      <c r="C175" s="9" t="s">
        <v>215</v>
      </c>
      <c r="D175" s="35" t="s">
        <v>217</v>
      </c>
      <c r="E175" s="9" t="s">
        <v>218</v>
      </c>
      <c r="F175" s="35" t="s">
        <v>234</v>
      </c>
      <c r="G175" s="9" t="s">
        <v>55</v>
      </c>
      <c r="H175" s="9" t="s">
        <v>51</v>
      </c>
      <c r="I175" s="35">
        <v>5</v>
      </c>
      <c r="J175" s="9" t="s">
        <v>132</v>
      </c>
      <c r="K175" s="9">
        <v>127</v>
      </c>
      <c r="L175" s="38">
        <v>40</v>
      </c>
      <c r="M175" s="38">
        <v>5080</v>
      </c>
      <c r="N175" s="9">
        <v>84.666666666666671</v>
      </c>
      <c r="O175" s="9" t="s">
        <v>85</v>
      </c>
      <c r="P175" s="35">
        <v>127</v>
      </c>
      <c r="Q175" s="43"/>
      <c r="R175" s="35">
        <v>31595.333333333332</v>
      </c>
      <c r="S175" s="33">
        <v>46097</v>
      </c>
      <c r="T175" s="35">
        <v>90</v>
      </c>
      <c r="U175" s="35">
        <v>5.3333333333333286</v>
      </c>
      <c r="V175" s="35">
        <f t="shared" si="2"/>
        <v>0</v>
      </c>
    </row>
    <row r="176" spans="1:22" s="4" customFormat="1" x14ac:dyDescent="0.25">
      <c r="A176" s="32">
        <v>46097</v>
      </c>
      <c r="B176" s="7" t="s">
        <v>27</v>
      </c>
      <c r="C176" s="7" t="s">
        <v>36</v>
      </c>
      <c r="D176" s="34" t="s">
        <v>217</v>
      </c>
      <c r="E176" s="7" t="s">
        <v>218</v>
      </c>
      <c r="F176" s="34" t="s">
        <v>234</v>
      </c>
      <c r="G176" s="7" t="s">
        <v>55</v>
      </c>
      <c r="H176" s="7" t="s">
        <v>51</v>
      </c>
      <c r="I176" s="34">
        <v>7</v>
      </c>
      <c r="J176" s="7" t="s">
        <v>225</v>
      </c>
      <c r="K176" s="7">
        <v>127</v>
      </c>
      <c r="L176" s="37">
        <v>120</v>
      </c>
      <c r="M176" s="37">
        <v>15240</v>
      </c>
      <c r="N176" s="7">
        <v>254</v>
      </c>
      <c r="O176" s="7" t="s">
        <v>85</v>
      </c>
      <c r="P176" s="34">
        <v>127</v>
      </c>
      <c r="Q176" s="44"/>
      <c r="R176" s="34">
        <v>31426</v>
      </c>
      <c r="S176" s="32">
        <v>46097</v>
      </c>
      <c r="T176" s="34">
        <v>300</v>
      </c>
      <c r="U176" s="34">
        <v>46</v>
      </c>
      <c r="V176" s="34">
        <f t="shared" si="2"/>
        <v>0</v>
      </c>
    </row>
    <row r="177" spans="1:22" s="1" customFormat="1" x14ac:dyDescent="0.25">
      <c r="A177" s="33">
        <v>46097</v>
      </c>
      <c r="B177" s="9" t="s">
        <v>30</v>
      </c>
      <c r="C177" s="9" t="s">
        <v>40</v>
      </c>
      <c r="D177" s="35" t="s">
        <v>403</v>
      </c>
      <c r="E177" s="9" t="s">
        <v>120</v>
      </c>
      <c r="F177" s="35" t="s">
        <v>210</v>
      </c>
      <c r="G177" s="9" t="s">
        <v>56</v>
      </c>
      <c r="H177" s="9" t="s">
        <v>48</v>
      </c>
      <c r="I177" s="35">
        <v>9</v>
      </c>
      <c r="J177" s="9" t="s">
        <v>143</v>
      </c>
      <c r="K177" s="9">
        <v>90</v>
      </c>
      <c r="L177" s="38">
        <v>40</v>
      </c>
      <c r="M177" s="38">
        <v>3600</v>
      </c>
      <c r="N177" s="9">
        <v>60</v>
      </c>
      <c r="O177" s="9" t="s">
        <v>52</v>
      </c>
      <c r="P177" s="35">
        <v>0</v>
      </c>
      <c r="Q177" s="43"/>
      <c r="R177" s="35">
        <v>31620</v>
      </c>
      <c r="S177" s="35"/>
      <c r="T177" s="35">
        <v>0</v>
      </c>
      <c r="U177" s="35">
        <v>0</v>
      </c>
      <c r="V177" s="35">
        <f t="shared" si="2"/>
        <v>90</v>
      </c>
    </row>
    <row r="178" spans="1:22" s="4" customFormat="1" x14ac:dyDescent="0.25">
      <c r="A178" s="32">
        <v>46097</v>
      </c>
      <c r="B178" s="7" t="s">
        <v>30</v>
      </c>
      <c r="C178" s="7" t="s">
        <v>40</v>
      </c>
      <c r="D178" s="34" t="s">
        <v>403</v>
      </c>
      <c r="E178" s="7" t="s">
        <v>120</v>
      </c>
      <c r="F178" s="34" t="s">
        <v>211</v>
      </c>
      <c r="G178" s="7" t="s">
        <v>56</v>
      </c>
      <c r="H178" s="7" t="s">
        <v>49</v>
      </c>
      <c r="I178" s="34">
        <v>9</v>
      </c>
      <c r="J178" s="7" t="s">
        <v>143</v>
      </c>
      <c r="K178" s="7">
        <v>45</v>
      </c>
      <c r="L178" s="37">
        <v>40</v>
      </c>
      <c r="M178" s="37">
        <v>1800</v>
      </c>
      <c r="N178" s="7">
        <v>30</v>
      </c>
      <c r="O178" s="7" t="s">
        <v>85</v>
      </c>
      <c r="P178" s="34">
        <v>45</v>
      </c>
      <c r="Q178" s="44"/>
      <c r="R178" s="34">
        <v>31590</v>
      </c>
      <c r="S178" s="32">
        <v>46097</v>
      </c>
      <c r="T178" s="34">
        <v>40</v>
      </c>
      <c r="U178" s="34">
        <v>10</v>
      </c>
      <c r="V178" s="34">
        <f t="shared" si="2"/>
        <v>0</v>
      </c>
    </row>
    <row r="179" spans="1:22" s="1" customFormat="1" x14ac:dyDescent="0.25">
      <c r="A179" s="33">
        <v>46097</v>
      </c>
      <c r="B179" s="9" t="s">
        <v>30</v>
      </c>
      <c r="C179" s="9" t="s">
        <v>40</v>
      </c>
      <c r="D179" s="35" t="s">
        <v>403</v>
      </c>
      <c r="E179" s="9" t="s">
        <v>120</v>
      </c>
      <c r="F179" s="35" t="s">
        <v>210</v>
      </c>
      <c r="G179" s="9" t="s">
        <v>56</v>
      </c>
      <c r="H179" s="9" t="s">
        <v>48</v>
      </c>
      <c r="I179" s="35">
        <v>10</v>
      </c>
      <c r="J179" s="9" t="s">
        <v>145</v>
      </c>
      <c r="K179" s="9">
        <v>90</v>
      </c>
      <c r="L179" s="38">
        <v>60</v>
      </c>
      <c r="M179" s="38">
        <v>5400</v>
      </c>
      <c r="N179" s="9">
        <v>90</v>
      </c>
      <c r="O179" s="9" t="s">
        <v>52</v>
      </c>
      <c r="P179" s="35">
        <v>0</v>
      </c>
      <c r="Q179" s="43"/>
      <c r="R179" s="35">
        <v>31500</v>
      </c>
      <c r="S179" s="35"/>
      <c r="T179" s="35">
        <v>0</v>
      </c>
      <c r="U179" s="35">
        <v>0</v>
      </c>
      <c r="V179" s="35">
        <f t="shared" si="2"/>
        <v>90</v>
      </c>
    </row>
    <row r="180" spans="1:22" s="4" customFormat="1" x14ac:dyDescent="0.25">
      <c r="A180" s="32">
        <v>46097</v>
      </c>
      <c r="B180" s="7" t="s">
        <v>30</v>
      </c>
      <c r="C180" s="7" t="s">
        <v>40</v>
      </c>
      <c r="D180" s="34" t="s">
        <v>403</v>
      </c>
      <c r="E180" s="7" t="s">
        <v>120</v>
      </c>
      <c r="F180" s="34" t="s">
        <v>211</v>
      </c>
      <c r="G180" s="7" t="s">
        <v>56</v>
      </c>
      <c r="H180" s="7" t="s">
        <v>49</v>
      </c>
      <c r="I180" s="34">
        <v>10</v>
      </c>
      <c r="J180" s="7" t="s">
        <v>145</v>
      </c>
      <c r="K180" s="7">
        <v>45</v>
      </c>
      <c r="L180" s="37">
        <v>60</v>
      </c>
      <c r="M180" s="37">
        <v>2700</v>
      </c>
      <c r="N180" s="7">
        <v>45</v>
      </c>
      <c r="O180" s="7" t="s">
        <v>85</v>
      </c>
      <c r="P180" s="34">
        <v>45</v>
      </c>
      <c r="Q180" s="44"/>
      <c r="R180" s="34">
        <v>31455</v>
      </c>
      <c r="S180" s="32">
        <v>46097</v>
      </c>
      <c r="T180" s="34">
        <v>60</v>
      </c>
      <c r="U180" s="34">
        <v>15</v>
      </c>
      <c r="V180" s="34">
        <f t="shared" si="2"/>
        <v>0</v>
      </c>
    </row>
    <row r="181" spans="1:22" s="1" customFormat="1" x14ac:dyDescent="0.25">
      <c r="A181" s="33">
        <v>46097</v>
      </c>
      <c r="B181" s="9" t="s">
        <v>29</v>
      </c>
      <c r="C181" s="9" t="s">
        <v>38</v>
      </c>
      <c r="D181" s="35" t="s">
        <v>217</v>
      </c>
      <c r="E181" s="9" t="s">
        <v>218</v>
      </c>
      <c r="F181" s="35" t="s">
        <v>238</v>
      </c>
      <c r="G181" s="9" t="s">
        <v>55</v>
      </c>
      <c r="H181" s="9" t="s">
        <v>50</v>
      </c>
      <c r="I181" s="35">
        <v>2</v>
      </c>
      <c r="J181" s="9" t="s">
        <v>220</v>
      </c>
      <c r="K181" s="9">
        <v>64</v>
      </c>
      <c r="L181" s="38">
        <v>40</v>
      </c>
      <c r="M181" s="38">
        <v>2560</v>
      </c>
      <c r="N181" s="9">
        <v>42.666666666666664</v>
      </c>
      <c r="O181" s="9" t="s">
        <v>85</v>
      </c>
      <c r="P181" s="35">
        <v>64</v>
      </c>
      <c r="Q181" s="43"/>
      <c r="R181" s="35">
        <v>31637.333333333332</v>
      </c>
      <c r="S181" s="33">
        <v>46097</v>
      </c>
      <c r="T181" s="35">
        <v>45</v>
      </c>
      <c r="U181" s="35">
        <v>2.3333333333333357</v>
      </c>
      <c r="V181" s="35">
        <f t="shared" si="2"/>
        <v>0</v>
      </c>
    </row>
    <row r="182" spans="1:22" s="4" customFormat="1" x14ac:dyDescent="0.25">
      <c r="A182" s="32">
        <v>46087</v>
      </c>
      <c r="B182" s="7" t="s">
        <v>124</v>
      </c>
      <c r="C182" s="7" t="s">
        <v>125</v>
      </c>
      <c r="D182" s="34" t="s">
        <v>53</v>
      </c>
      <c r="E182" s="7" t="s">
        <v>54</v>
      </c>
      <c r="F182" s="34" t="s">
        <v>92</v>
      </c>
      <c r="G182" s="7" t="s">
        <v>55</v>
      </c>
      <c r="H182" s="7" t="s">
        <v>49</v>
      </c>
      <c r="I182" s="34">
        <v>13</v>
      </c>
      <c r="J182" s="7" t="s">
        <v>78</v>
      </c>
      <c r="K182" s="7">
        <v>36</v>
      </c>
      <c r="L182" s="37">
        <v>35</v>
      </c>
      <c r="M182" s="37">
        <v>1260</v>
      </c>
      <c r="N182" s="7">
        <v>21</v>
      </c>
      <c r="O182" s="7" t="s">
        <v>85</v>
      </c>
      <c r="P182" s="34">
        <v>0</v>
      </c>
      <c r="Q182" s="44"/>
      <c r="R182" s="34">
        <v>31659</v>
      </c>
      <c r="S182" s="32">
        <v>46087</v>
      </c>
      <c r="T182" s="34">
        <v>0</v>
      </c>
      <c r="U182" s="34">
        <v>-21</v>
      </c>
      <c r="V182" s="34">
        <f t="shared" si="2"/>
        <v>36</v>
      </c>
    </row>
    <row r="183" spans="1:22" s="1" customFormat="1" x14ac:dyDescent="0.25">
      <c r="A183" s="33">
        <v>46090</v>
      </c>
      <c r="B183" s="9" t="s">
        <v>29</v>
      </c>
      <c r="C183" s="9" t="s">
        <v>38</v>
      </c>
      <c r="D183" s="35" t="s">
        <v>53</v>
      </c>
      <c r="E183" s="9" t="s">
        <v>54</v>
      </c>
      <c r="F183" s="35" t="s">
        <v>92</v>
      </c>
      <c r="G183" s="9" t="s">
        <v>55</v>
      </c>
      <c r="H183" s="9" t="s">
        <v>49</v>
      </c>
      <c r="I183" s="35">
        <v>1</v>
      </c>
      <c r="J183" s="9" t="s">
        <v>57</v>
      </c>
      <c r="K183" s="9">
        <v>36</v>
      </c>
      <c r="L183" s="38">
        <v>40</v>
      </c>
      <c r="M183" s="38">
        <v>1440</v>
      </c>
      <c r="N183" s="9">
        <v>24</v>
      </c>
      <c r="O183" s="9" t="s">
        <v>85</v>
      </c>
      <c r="P183" s="35">
        <v>36</v>
      </c>
      <c r="Q183" s="43"/>
      <c r="R183" s="35">
        <v>31614</v>
      </c>
      <c r="S183" s="33">
        <v>46090</v>
      </c>
      <c r="T183" s="35">
        <v>25</v>
      </c>
      <c r="U183" s="35">
        <v>1</v>
      </c>
      <c r="V183" s="35">
        <f t="shared" si="2"/>
        <v>0</v>
      </c>
    </row>
    <row r="184" spans="1:22" s="4" customFormat="1" x14ac:dyDescent="0.25">
      <c r="A184" s="32">
        <v>46091</v>
      </c>
      <c r="B184" s="7" t="s">
        <v>30</v>
      </c>
      <c r="C184" s="7" t="s">
        <v>40</v>
      </c>
      <c r="D184" s="34" t="s">
        <v>403</v>
      </c>
      <c r="E184" s="7" t="s">
        <v>120</v>
      </c>
      <c r="F184" s="34" t="s">
        <v>205</v>
      </c>
      <c r="G184" s="7" t="s">
        <v>55</v>
      </c>
      <c r="H184" s="7" t="s">
        <v>51</v>
      </c>
      <c r="I184" s="34">
        <v>11</v>
      </c>
      <c r="J184" s="7" t="s">
        <v>147</v>
      </c>
      <c r="K184" s="7">
        <v>62</v>
      </c>
      <c r="L184" s="37">
        <v>60</v>
      </c>
      <c r="M184" s="37">
        <v>3720</v>
      </c>
      <c r="N184" s="7">
        <v>62</v>
      </c>
      <c r="O184" s="7" t="s">
        <v>85</v>
      </c>
      <c r="P184" s="34">
        <v>62</v>
      </c>
      <c r="Q184" s="44"/>
      <c r="R184" s="34">
        <v>31393</v>
      </c>
      <c r="S184" s="32">
        <v>46091</v>
      </c>
      <c r="T184" s="34">
        <v>70</v>
      </c>
      <c r="U184" s="34">
        <v>8</v>
      </c>
      <c r="V184" s="34">
        <f t="shared" si="2"/>
        <v>0</v>
      </c>
    </row>
    <row r="185" spans="1:22" s="1" customFormat="1" x14ac:dyDescent="0.25">
      <c r="A185" s="33">
        <v>46091</v>
      </c>
      <c r="B185" s="9" t="s">
        <v>29</v>
      </c>
      <c r="C185" s="9" t="s">
        <v>38</v>
      </c>
      <c r="D185" s="35" t="s">
        <v>403</v>
      </c>
      <c r="E185" s="9" t="s">
        <v>120</v>
      </c>
      <c r="F185" s="35" t="s">
        <v>205</v>
      </c>
      <c r="G185" s="9" t="s">
        <v>55</v>
      </c>
      <c r="H185" s="9" t="s">
        <v>51</v>
      </c>
      <c r="I185" s="35">
        <v>12</v>
      </c>
      <c r="J185" s="9" t="s">
        <v>149</v>
      </c>
      <c r="K185" s="9">
        <v>62</v>
      </c>
      <c r="L185" s="38">
        <v>40</v>
      </c>
      <c r="M185" s="38">
        <v>2480</v>
      </c>
      <c r="N185" s="9">
        <v>41.333333333333336</v>
      </c>
      <c r="O185" s="9" t="s">
        <v>85</v>
      </c>
      <c r="P185" s="35">
        <v>62</v>
      </c>
      <c r="Q185" s="43"/>
      <c r="R185" s="35">
        <v>31618</v>
      </c>
      <c r="S185" s="33">
        <v>46091</v>
      </c>
      <c r="T185" s="35">
        <v>45</v>
      </c>
      <c r="U185" s="35">
        <v>3.6666666666666643</v>
      </c>
      <c r="V185" s="35">
        <f t="shared" si="2"/>
        <v>0</v>
      </c>
    </row>
    <row r="186" spans="1:22" s="4" customFormat="1" x14ac:dyDescent="0.25">
      <c r="A186" s="32">
        <v>46097</v>
      </c>
      <c r="B186" s="7" t="s">
        <v>30</v>
      </c>
      <c r="C186" s="7" t="s">
        <v>40</v>
      </c>
      <c r="D186" s="34" t="s">
        <v>403</v>
      </c>
      <c r="E186" s="7" t="s">
        <v>120</v>
      </c>
      <c r="F186" s="34" t="s">
        <v>207</v>
      </c>
      <c r="G186" s="7" t="s">
        <v>55</v>
      </c>
      <c r="H186" s="7" t="s">
        <v>49</v>
      </c>
      <c r="I186" s="34">
        <v>10</v>
      </c>
      <c r="J186" s="7" t="s">
        <v>145</v>
      </c>
      <c r="K186" s="7">
        <v>30</v>
      </c>
      <c r="L186" s="37">
        <v>60</v>
      </c>
      <c r="M186" s="37">
        <v>1800</v>
      </c>
      <c r="N186" s="7">
        <v>30</v>
      </c>
      <c r="O186" s="7" t="s">
        <v>85</v>
      </c>
      <c r="P186" s="34">
        <v>30</v>
      </c>
      <c r="Q186" s="44"/>
      <c r="R186" s="34">
        <v>31425</v>
      </c>
      <c r="S186" s="32">
        <v>46097</v>
      </c>
      <c r="T186" s="34">
        <v>45</v>
      </c>
      <c r="U186" s="34">
        <v>15</v>
      </c>
      <c r="V186" s="34">
        <f t="shared" si="2"/>
        <v>0</v>
      </c>
    </row>
    <row r="187" spans="1:22" s="1" customFormat="1" x14ac:dyDescent="0.25">
      <c r="A187" s="33">
        <v>46097</v>
      </c>
      <c r="B187" s="9" t="s">
        <v>30</v>
      </c>
      <c r="C187" s="9" t="s">
        <v>40</v>
      </c>
      <c r="D187" s="35" t="s">
        <v>403</v>
      </c>
      <c r="E187" s="9" t="s">
        <v>120</v>
      </c>
      <c r="F187" s="35" t="s">
        <v>207</v>
      </c>
      <c r="G187" s="9" t="s">
        <v>55</v>
      </c>
      <c r="H187" s="9" t="s">
        <v>49</v>
      </c>
      <c r="I187" s="35">
        <v>9</v>
      </c>
      <c r="J187" s="9" t="s">
        <v>143</v>
      </c>
      <c r="K187" s="9">
        <v>30</v>
      </c>
      <c r="L187" s="38">
        <v>40</v>
      </c>
      <c r="M187" s="38">
        <v>1200</v>
      </c>
      <c r="N187" s="9">
        <v>20</v>
      </c>
      <c r="O187" s="9" t="s">
        <v>85</v>
      </c>
      <c r="P187" s="35">
        <v>30</v>
      </c>
      <c r="Q187" s="43"/>
      <c r="R187" s="35">
        <v>31405</v>
      </c>
      <c r="S187" s="33">
        <v>46097</v>
      </c>
      <c r="T187" s="35">
        <v>30</v>
      </c>
      <c r="U187" s="35">
        <v>10</v>
      </c>
      <c r="V187" s="35">
        <f t="shared" si="2"/>
        <v>0</v>
      </c>
    </row>
    <row r="188" spans="1:22" s="4" customFormat="1" x14ac:dyDescent="0.25">
      <c r="A188" s="32">
        <v>46091</v>
      </c>
      <c r="B188" s="7" t="s">
        <v>30</v>
      </c>
      <c r="C188" s="7" t="s">
        <v>40</v>
      </c>
      <c r="D188" s="34" t="s">
        <v>403</v>
      </c>
      <c r="E188" s="7" t="s">
        <v>120</v>
      </c>
      <c r="F188" s="34" t="s">
        <v>207</v>
      </c>
      <c r="G188" s="7" t="s">
        <v>55</v>
      </c>
      <c r="H188" s="7" t="s">
        <v>49</v>
      </c>
      <c r="I188" s="34">
        <v>11</v>
      </c>
      <c r="J188" s="7" t="s">
        <v>147</v>
      </c>
      <c r="K188" s="7">
        <v>30</v>
      </c>
      <c r="L188" s="37">
        <v>60</v>
      </c>
      <c r="M188" s="37">
        <v>1800</v>
      </c>
      <c r="N188" s="7">
        <v>30</v>
      </c>
      <c r="O188" s="7" t="s">
        <v>85</v>
      </c>
      <c r="P188" s="34">
        <v>30</v>
      </c>
      <c r="Q188" s="44"/>
      <c r="R188" s="34">
        <v>31650</v>
      </c>
      <c r="S188" s="32">
        <v>46091</v>
      </c>
      <c r="T188" s="34">
        <v>40</v>
      </c>
      <c r="U188" s="34">
        <v>10</v>
      </c>
      <c r="V188" s="34">
        <f t="shared" si="2"/>
        <v>0</v>
      </c>
    </row>
    <row r="189" spans="1:22" s="1" customFormat="1" x14ac:dyDescent="0.25">
      <c r="A189" s="33">
        <v>46096</v>
      </c>
      <c r="B189" s="9" t="s">
        <v>122</v>
      </c>
      <c r="C189" s="9" t="s">
        <v>212</v>
      </c>
      <c r="D189" s="35" t="s">
        <v>403</v>
      </c>
      <c r="E189" s="9" t="s">
        <v>120</v>
      </c>
      <c r="F189" s="35" t="s">
        <v>208</v>
      </c>
      <c r="G189" s="9" t="s">
        <v>56</v>
      </c>
      <c r="H189" s="9" t="s">
        <v>152</v>
      </c>
      <c r="I189" s="35">
        <v>11</v>
      </c>
      <c r="J189" s="9" t="s">
        <v>147</v>
      </c>
      <c r="K189" s="9">
        <v>45</v>
      </c>
      <c r="L189" s="38">
        <v>60</v>
      </c>
      <c r="M189" s="38">
        <v>2700</v>
      </c>
      <c r="N189" s="9">
        <v>45</v>
      </c>
      <c r="O189" s="9" t="s">
        <v>85</v>
      </c>
      <c r="P189" s="35">
        <v>45</v>
      </c>
      <c r="Q189" s="43"/>
      <c r="R189" s="35">
        <v>31635</v>
      </c>
      <c r="S189" s="33">
        <v>46096</v>
      </c>
      <c r="T189" s="35">
        <v>50</v>
      </c>
      <c r="U189" s="35">
        <v>5</v>
      </c>
      <c r="V189" s="35">
        <f t="shared" si="2"/>
        <v>0</v>
      </c>
    </row>
    <row r="190" spans="1:22" s="4" customFormat="1" x14ac:dyDescent="0.25">
      <c r="A190" s="32">
        <v>46096</v>
      </c>
      <c r="B190" s="7" t="s">
        <v>122</v>
      </c>
      <c r="C190" s="7" t="s">
        <v>212</v>
      </c>
      <c r="D190" s="34" t="s">
        <v>403</v>
      </c>
      <c r="E190" s="7" t="s">
        <v>120</v>
      </c>
      <c r="F190" s="34" t="s">
        <v>208</v>
      </c>
      <c r="G190" s="7" t="s">
        <v>56</v>
      </c>
      <c r="H190" s="7" t="s">
        <v>152</v>
      </c>
      <c r="I190" s="34">
        <v>3</v>
      </c>
      <c r="J190" s="7" t="s">
        <v>131</v>
      </c>
      <c r="K190" s="7">
        <v>45</v>
      </c>
      <c r="L190" s="37">
        <v>45</v>
      </c>
      <c r="M190" s="37">
        <v>2025</v>
      </c>
      <c r="N190" s="7">
        <v>33.75</v>
      </c>
      <c r="O190" s="7" t="s">
        <v>85</v>
      </c>
      <c r="P190" s="34">
        <v>45</v>
      </c>
      <c r="Q190" s="44"/>
      <c r="R190" s="34">
        <v>31646.25</v>
      </c>
      <c r="S190" s="32">
        <v>46096</v>
      </c>
      <c r="T190" s="34">
        <v>45</v>
      </c>
      <c r="U190" s="34">
        <v>11.25</v>
      </c>
      <c r="V190" s="34">
        <f t="shared" si="2"/>
        <v>0</v>
      </c>
    </row>
    <row r="191" spans="1:22" s="1" customFormat="1" x14ac:dyDescent="0.25">
      <c r="A191" s="33">
        <v>46096</v>
      </c>
      <c r="B191" s="9" t="s">
        <v>122</v>
      </c>
      <c r="C191" s="9" t="s">
        <v>212</v>
      </c>
      <c r="D191" s="35" t="s">
        <v>403</v>
      </c>
      <c r="E191" s="9" t="s">
        <v>120</v>
      </c>
      <c r="F191" s="35" t="s">
        <v>210</v>
      </c>
      <c r="G191" s="9" t="s">
        <v>56</v>
      </c>
      <c r="H191" s="9" t="s">
        <v>48</v>
      </c>
      <c r="I191" s="35">
        <v>4</v>
      </c>
      <c r="J191" s="9" t="s">
        <v>133</v>
      </c>
      <c r="K191" s="9">
        <v>90</v>
      </c>
      <c r="L191" s="38">
        <v>30</v>
      </c>
      <c r="M191" s="38">
        <v>2700</v>
      </c>
      <c r="N191" s="9">
        <v>45</v>
      </c>
      <c r="O191" s="9" t="s">
        <v>52</v>
      </c>
      <c r="P191" s="35">
        <v>0</v>
      </c>
      <c r="Q191" s="43"/>
      <c r="R191" s="35">
        <v>31635</v>
      </c>
      <c r="S191" s="35"/>
      <c r="T191" s="35">
        <v>0</v>
      </c>
      <c r="U191" s="35">
        <v>0</v>
      </c>
      <c r="V191" s="35">
        <f t="shared" si="2"/>
        <v>90</v>
      </c>
    </row>
    <row r="192" spans="1:22" s="4" customFormat="1" x14ac:dyDescent="0.25">
      <c r="A192" s="32">
        <v>46096</v>
      </c>
      <c r="B192" s="7" t="s">
        <v>30</v>
      </c>
      <c r="C192" s="7" t="s">
        <v>40</v>
      </c>
      <c r="D192" s="34" t="s">
        <v>403</v>
      </c>
      <c r="E192" s="7" t="s">
        <v>120</v>
      </c>
      <c r="F192" s="34" t="s">
        <v>210</v>
      </c>
      <c r="G192" s="7" t="s">
        <v>56</v>
      </c>
      <c r="H192" s="7" t="s">
        <v>48</v>
      </c>
      <c r="I192" s="34">
        <v>13</v>
      </c>
      <c r="J192" s="7" t="s">
        <v>213</v>
      </c>
      <c r="K192" s="7">
        <v>90</v>
      </c>
      <c r="L192" s="37">
        <v>30</v>
      </c>
      <c r="M192" s="37">
        <v>2700</v>
      </c>
      <c r="N192" s="7">
        <v>45</v>
      </c>
      <c r="O192" s="7" t="s">
        <v>52</v>
      </c>
      <c r="P192" s="34">
        <v>0</v>
      </c>
      <c r="Q192" s="44"/>
      <c r="R192" s="34">
        <v>31635</v>
      </c>
      <c r="S192" s="34"/>
      <c r="T192" s="34">
        <v>0</v>
      </c>
      <c r="U192" s="34">
        <v>0</v>
      </c>
      <c r="V192" s="34">
        <f t="shared" si="2"/>
        <v>90</v>
      </c>
    </row>
    <row r="193" spans="1:22" s="1" customFormat="1" x14ac:dyDescent="0.25">
      <c r="A193" s="33">
        <v>46092</v>
      </c>
      <c r="B193" s="9" t="s">
        <v>29</v>
      </c>
      <c r="C193" s="9" t="s">
        <v>38</v>
      </c>
      <c r="D193" s="35" t="s">
        <v>403</v>
      </c>
      <c r="E193" s="9" t="s">
        <v>120</v>
      </c>
      <c r="F193" s="35" t="s">
        <v>210</v>
      </c>
      <c r="G193" s="9" t="s">
        <v>56</v>
      </c>
      <c r="H193" s="9" t="s">
        <v>48</v>
      </c>
      <c r="I193" s="35">
        <v>2</v>
      </c>
      <c r="J193" s="9" t="s">
        <v>129</v>
      </c>
      <c r="K193" s="9">
        <v>90</v>
      </c>
      <c r="L193" s="38">
        <v>40</v>
      </c>
      <c r="M193" s="38">
        <v>3600</v>
      </c>
      <c r="N193" s="9">
        <v>60</v>
      </c>
      <c r="O193" s="9" t="s">
        <v>52</v>
      </c>
      <c r="P193" s="35">
        <v>0</v>
      </c>
      <c r="Q193" s="43"/>
      <c r="R193" s="35">
        <v>31620</v>
      </c>
      <c r="S193" s="35"/>
      <c r="T193" s="35">
        <v>0</v>
      </c>
      <c r="U193" s="35">
        <v>0</v>
      </c>
      <c r="V193" s="35">
        <f t="shared" si="2"/>
        <v>90</v>
      </c>
    </row>
    <row r="194" spans="1:22" s="4" customFormat="1" x14ac:dyDescent="0.25">
      <c r="A194" s="32">
        <v>46092</v>
      </c>
      <c r="B194" s="7" t="s">
        <v>29</v>
      </c>
      <c r="C194" s="7" t="s">
        <v>38</v>
      </c>
      <c r="D194" s="34" t="s">
        <v>403</v>
      </c>
      <c r="E194" s="7" t="s">
        <v>120</v>
      </c>
      <c r="F194" s="34" t="s">
        <v>211</v>
      </c>
      <c r="G194" s="7" t="s">
        <v>56</v>
      </c>
      <c r="H194" s="7" t="s">
        <v>49</v>
      </c>
      <c r="I194" s="34">
        <v>2</v>
      </c>
      <c r="J194" s="7" t="s">
        <v>129</v>
      </c>
      <c r="K194" s="7">
        <v>45</v>
      </c>
      <c r="L194" s="37">
        <v>40</v>
      </c>
      <c r="M194" s="37">
        <v>1800</v>
      </c>
      <c r="N194" s="7">
        <v>30</v>
      </c>
      <c r="O194" s="7" t="s">
        <v>85</v>
      </c>
      <c r="P194" s="34">
        <v>45</v>
      </c>
      <c r="Q194" s="44"/>
      <c r="R194" s="34">
        <v>31650</v>
      </c>
      <c r="S194" s="32">
        <v>46092</v>
      </c>
      <c r="T194" s="34">
        <v>35</v>
      </c>
      <c r="U194" s="34">
        <v>5</v>
      </c>
      <c r="V194" s="34">
        <f t="shared" si="2"/>
        <v>0</v>
      </c>
    </row>
    <row r="195" spans="1:22" s="1" customFormat="1" x14ac:dyDescent="0.25">
      <c r="A195" s="33">
        <v>46092</v>
      </c>
      <c r="B195" s="9" t="s">
        <v>122</v>
      </c>
      <c r="C195" s="9" t="s">
        <v>212</v>
      </c>
      <c r="D195" s="35" t="s">
        <v>403</v>
      </c>
      <c r="E195" s="9" t="s">
        <v>120</v>
      </c>
      <c r="F195" s="35" t="s">
        <v>211</v>
      </c>
      <c r="G195" s="9" t="s">
        <v>56</v>
      </c>
      <c r="H195" s="9" t="s">
        <v>49</v>
      </c>
      <c r="I195" s="35">
        <v>3</v>
      </c>
      <c r="J195" s="9" t="s">
        <v>131</v>
      </c>
      <c r="K195" s="9">
        <v>45</v>
      </c>
      <c r="L195" s="38">
        <v>45</v>
      </c>
      <c r="M195" s="38">
        <v>2025</v>
      </c>
      <c r="N195" s="9">
        <v>33.75</v>
      </c>
      <c r="O195" s="9" t="s">
        <v>52</v>
      </c>
      <c r="P195" s="35">
        <v>0</v>
      </c>
      <c r="Q195" s="43"/>
      <c r="R195" s="35">
        <v>31646.25</v>
      </c>
      <c r="S195" s="35"/>
      <c r="T195" s="35">
        <v>0</v>
      </c>
      <c r="U195" s="35">
        <v>0</v>
      </c>
      <c r="V195" s="35">
        <f t="shared" si="2"/>
        <v>45</v>
      </c>
    </row>
    <row r="196" spans="1:22" s="4" customFormat="1" x14ac:dyDescent="0.25">
      <c r="A196" s="32">
        <v>46098</v>
      </c>
      <c r="B196" s="7" t="s">
        <v>214</v>
      </c>
      <c r="C196" s="7" t="s">
        <v>215</v>
      </c>
      <c r="D196" s="34" t="s">
        <v>403</v>
      </c>
      <c r="E196" s="7" t="s">
        <v>120</v>
      </c>
      <c r="F196" s="34" t="s">
        <v>211</v>
      </c>
      <c r="G196" s="7" t="s">
        <v>56</v>
      </c>
      <c r="H196" s="7" t="s">
        <v>49</v>
      </c>
      <c r="I196" s="34">
        <v>12</v>
      </c>
      <c r="J196" s="7" t="s">
        <v>149</v>
      </c>
      <c r="K196" s="7">
        <v>45</v>
      </c>
      <c r="L196" s="37">
        <v>40</v>
      </c>
      <c r="M196" s="37">
        <v>1800</v>
      </c>
      <c r="N196" s="7">
        <v>30</v>
      </c>
      <c r="O196" s="7" t="s">
        <v>52</v>
      </c>
      <c r="P196" s="34">
        <v>0</v>
      </c>
      <c r="Q196" s="44"/>
      <c r="R196" s="34">
        <v>31650</v>
      </c>
      <c r="S196" s="34"/>
      <c r="T196" s="34">
        <v>0</v>
      </c>
      <c r="U196" s="34">
        <v>0</v>
      </c>
      <c r="V196" s="34">
        <f t="shared" si="2"/>
        <v>45</v>
      </c>
    </row>
    <row r="197" spans="1:22" s="1" customFormat="1" x14ac:dyDescent="0.25">
      <c r="A197" s="33">
        <v>46098</v>
      </c>
      <c r="B197" s="9" t="s">
        <v>214</v>
      </c>
      <c r="C197" s="9" t="s">
        <v>215</v>
      </c>
      <c r="D197" s="35" t="s">
        <v>403</v>
      </c>
      <c r="E197" s="9" t="s">
        <v>120</v>
      </c>
      <c r="F197" s="35" t="s">
        <v>210</v>
      </c>
      <c r="G197" s="9" t="s">
        <v>56</v>
      </c>
      <c r="H197" s="9" t="s">
        <v>48</v>
      </c>
      <c r="I197" s="35">
        <v>12</v>
      </c>
      <c r="J197" s="9" t="s">
        <v>149</v>
      </c>
      <c r="K197" s="9">
        <v>90</v>
      </c>
      <c r="L197" s="38">
        <v>40</v>
      </c>
      <c r="M197" s="38">
        <v>3600</v>
      </c>
      <c r="N197" s="9">
        <v>60</v>
      </c>
      <c r="O197" s="9" t="s">
        <v>52</v>
      </c>
      <c r="P197" s="35">
        <v>0</v>
      </c>
      <c r="Q197" s="43"/>
      <c r="R197" s="35">
        <v>31590</v>
      </c>
      <c r="S197" s="35"/>
      <c r="T197" s="35">
        <v>0</v>
      </c>
      <c r="U197" s="35">
        <v>0</v>
      </c>
      <c r="V197" s="35">
        <f t="shared" ref="V197:V260" si="3">+K197-P197</f>
        <v>90</v>
      </c>
    </row>
    <row r="198" spans="1:22" s="4" customFormat="1" x14ac:dyDescent="0.25">
      <c r="A198" s="32">
        <v>46092</v>
      </c>
      <c r="B198" s="7" t="s">
        <v>30</v>
      </c>
      <c r="C198" s="7" t="s">
        <v>40</v>
      </c>
      <c r="D198" s="34" t="s">
        <v>403</v>
      </c>
      <c r="E198" s="7" t="s">
        <v>120</v>
      </c>
      <c r="F198" s="34" t="s">
        <v>208</v>
      </c>
      <c r="G198" s="7" t="s">
        <v>56</v>
      </c>
      <c r="H198" s="7" t="s">
        <v>152</v>
      </c>
      <c r="I198" s="34">
        <v>13</v>
      </c>
      <c r="J198" s="7" t="s">
        <v>213</v>
      </c>
      <c r="K198" s="7">
        <v>45</v>
      </c>
      <c r="L198" s="37">
        <v>30</v>
      </c>
      <c r="M198" s="37">
        <v>1350</v>
      </c>
      <c r="N198" s="7">
        <v>22.5</v>
      </c>
      <c r="O198" s="7" t="s">
        <v>85</v>
      </c>
      <c r="P198" s="34">
        <v>45</v>
      </c>
      <c r="Q198" s="44"/>
      <c r="R198" s="34">
        <v>31657.5</v>
      </c>
      <c r="S198" s="32">
        <v>46092</v>
      </c>
      <c r="T198" s="34">
        <v>25</v>
      </c>
      <c r="U198" s="34">
        <v>2.5</v>
      </c>
      <c r="V198" s="34">
        <f t="shared" si="3"/>
        <v>0</v>
      </c>
    </row>
    <row r="199" spans="1:22" s="1" customFormat="1" x14ac:dyDescent="0.25">
      <c r="A199" s="33">
        <v>46092</v>
      </c>
      <c r="B199" s="9" t="s">
        <v>29</v>
      </c>
      <c r="C199" s="9" t="s">
        <v>38</v>
      </c>
      <c r="D199" s="35" t="s">
        <v>403</v>
      </c>
      <c r="E199" s="9" t="s">
        <v>120</v>
      </c>
      <c r="F199" s="35" t="s">
        <v>208</v>
      </c>
      <c r="G199" s="9" t="s">
        <v>56</v>
      </c>
      <c r="H199" s="9" t="s">
        <v>152</v>
      </c>
      <c r="I199" s="35">
        <v>2</v>
      </c>
      <c r="J199" s="9" t="s">
        <v>129</v>
      </c>
      <c r="K199" s="9">
        <v>45</v>
      </c>
      <c r="L199" s="38">
        <v>40</v>
      </c>
      <c r="M199" s="38">
        <v>1800</v>
      </c>
      <c r="N199" s="9">
        <v>30</v>
      </c>
      <c r="O199" s="9" t="s">
        <v>85</v>
      </c>
      <c r="P199" s="35">
        <v>45</v>
      </c>
      <c r="Q199" s="43"/>
      <c r="R199" s="35">
        <v>31650</v>
      </c>
      <c r="S199" s="33">
        <v>46092</v>
      </c>
      <c r="T199" s="35">
        <v>30</v>
      </c>
      <c r="U199" s="35">
        <v>0</v>
      </c>
      <c r="V199" s="35">
        <f t="shared" si="3"/>
        <v>0</v>
      </c>
    </row>
    <row r="200" spans="1:22" s="4" customFormat="1" x14ac:dyDescent="0.25">
      <c r="A200" s="32">
        <v>46098</v>
      </c>
      <c r="B200" s="7" t="s">
        <v>214</v>
      </c>
      <c r="C200" s="7" t="s">
        <v>215</v>
      </c>
      <c r="D200" s="34" t="s">
        <v>403</v>
      </c>
      <c r="E200" s="7" t="s">
        <v>120</v>
      </c>
      <c r="F200" s="34" t="s">
        <v>208</v>
      </c>
      <c r="G200" s="7" t="s">
        <v>56</v>
      </c>
      <c r="H200" s="7" t="s">
        <v>152</v>
      </c>
      <c r="I200" s="34">
        <v>12</v>
      </c>
      <c r="J200" s="7" t="s">
        <v>149</v>
      </c>
      <c r="K200" s="7">
        <v>45</v>
      </c>
      <c r="L200" s="37">
        <v>40</v>
      </c>
      <c r="M200" s="37">
        <v>1800</v>
      </c>
      <c r="N200" s="7">
        <v>30</v>
      </c>
      <c r="O200" s="7" t="s">
        <v>52</v>
      </c>
      <c r="P200" s="34">
        <v>0</v>
      </c>
      <c r="Q200" s="44"/>
      <c r="R200" s="34">
        <v>31560</v>
      </c>
      <c r="S200" s="34"/>
      <c r="T200" s="34">
        <v>0</v>
      </c>
      <c r="U200" s="34">
        <v>0</v>
      </c>
      <c r="V200" s="34">
        <f t="shared" si="3"/>
        <v>45</v>
      </c>
    </row>
    <row r="201" spans="1:22" s="1" customFormat="1" x14ac:dyDescent="0.25">
      <c r="A201" s="33">
        <v>46098</v>
      </c>
      <c r="B201" s="9" t="s">
        <v>27</v>
      </c>
      <c r="C201" s="9" t="s">
        <v>36</v>
      </c>
      <c r="D201" s="35" t="s">
        <v>403</v>
      </c>
      <c r="E201" s="9" t="s">
        <v>120</v>
      </c>
      <c r="F201" s="35" t="s">
        <v>208</v>
      </c>
      <c r="G201" s="9" t="s">
        <v>56</v>
      </c>
      <c r="H201" s="9" t="s">
        <v>152</v>
      </c>
      <c r="I201" s="35">
        <v>5</v>
      </c>
      <c r="J201" s="9" t="s">
        <v>135</v>
      </c>
      <c r="K201" s="9">
        <v>45</v>
      </c>
      <c r="L201" s="38">
        <v>150</v>
      </c>
      <c r="M201" s="38">
        <v>6750</v>
      </c>
      <c r="N201" s="9">
        <v>112.5</v>
      </c>
      <c r="O201" s="9" t="s">
        <v>52</v>
      </c>
      <c r="P201" s="35">
        <v>0</v>
      </c>
      <c r="Q201" s="43"/>
      <c r="R201" s="35">
        <v>31567.5</v>
      </c>
      <c r="S201" s="35"/>
      <c r="T201" s="35">
        <v>0</v>
      </c>
      <c r="U201" s="35">
        <v>0</v>
      </c>
      <c r="V201" s="35">
        <f t="shared" si="3"/>
        <v>45</v>
      </c>
    </row>
    <row r="202" spans="1:22" s="4" customFormat="1" x14ac:dyDescent="0.25">
      <c r="A202" s="32">
        <v>46098</v>
      </c>
      <c r="B202" s="7" t="s">
        <v>29</v>
      </c>
      <c r="C202" s="7" t="s">
        <v>38</v>
      </c>
      <c r="D202" s="34" t="s">
        <v>403</v>
      </c>
      <c r="E202" s="7" t="s">
        <v>120</v>
      </c>
      <c r="F202" s="34" t="s">
        <v>207</v>
      </c>
      <c r="G202" s="7" t="s">
        <v>55</v>
      </c>
      <c r="H202" s="7" t="s">
        <v>49</v>
      </c>
      <c r="I202" s="34">
        <v>12</v>
      </c>
      <c r="J202" s="7" t="s">
        <v>149</v>
      </c>
      <c r="K202" s="7">
        <v>30</v>
      </c>
      <c r="L202" s="37">
        <v>40</v>
      </c>
      <c r="M202" s="37">
        <v>1200</v>
      </c>
      <c r="N202" s="7">
        <v>20</v>
      </c>
      <c r="O202" s="7" t="s">
        <v>85</v>
      </c>
      <c r="P202" s="34">
        <v>30</v>
      </c>
      <c r="Q202" s="44"/>
      <c r="R202" s="34">
        <v>31660</v>
      </c>
      <c r="S202" s="32">
        <v>46098</v>
      </c>
      <c r="T202" s="34">
        <v>35</v>
      </c>
      <c r="U202" s="34">
        <v>15</v>
      </c>
      <c r="V202" s="34">
        <f t="shared" si="3"/>
        <v>0</v>
      </c>
    </row>
    <row r="203" spans="1:22" s="1" customFormat="1" x14ac:dyDescent="0.25">
      <c r="A203" s="33">
        <v>46098</v>
      </c>
      <c r="B203" s="9" t="s">
        <v>214</v>
      </c>
      <c r="C203" s="9" t="s">
        <v>215</v>
      </c>
      <c r="D203" s="35" t="s">
        <v>217</v>
      </c>
      <c r="E203" s="9" t="s">
        <v>218</v>
      </c>
      <c r="F203" s="35" t="s">
        <v>234</v>
      </c>
      <c r="G203" s="9" t="s">
        <v>55</v>
      </c>
      <c r="H203" s="9" t="s">
        <v>51</v>
      </c>
      <c r="I203" s="35">
        <v>6</v>
      </c>
      <c r="J203" s="9" t="s">
        <v>223</v>
      </c>
      <c r="K203" s="9">
        <v>127</v>
      </c>
      <c r="L203" s="38">
        <v>90</v>
      </c>
      <c r="M203" s="38">
        <v>11430</v>
      </c>
      <c r="N203" s="9">
        <v>190.5</v>
      </c>
      <c r="O203" s="9" t="s">
        <v>85</v>
      </c>
      <c r="P203" s="35">
        <v>127</v>
      </c>
      <c r="Q203" s="43"/>
      <c r="R203" s="35">
        <v>31369.5</v>
      </c>
      <c r="S203" s="33">
        <v>46098</v>
      </c>
      <c r="T203" s="35">
        <v>250</v>
      </c>
      <c r="U203" s="35">
        <v>59.5</v>
      </c>
      <c r="V203" s="35">
        <f t="shared" si="3"/>
        <v>0</v>
      </c>
    </row>
    <row r="204" spans="1:22" s="4" customFormat="1" x14ac:dyDescent="0.25">
      <c r="A204" s="32">
        <v>46098</v>
      </c>
      <c r="B204" s="7" t="s">
        <v>29</v>
      </c>
      <c r="C204" s="7" t="s">
        <v>38</v>
      </c>
      <c r="D204" s="34" t="s">
        <v>217</v>
      </c>
      <c r="E204" s="7" t="s">
        <v>218</v>
      </c>
      <c r="F204" s="34" t="s">
        <v>234</v>
      </c>
      <c r="G204" s="7" t="s">
        <v>55</v>
      </c>
      <c r="H204" s="7" t="s">
        <v>51</v>
      </c>
      <c r="I204" s="34">
        <v>8</v>
      </c>
      <c r="J204" s="7" t="s">
        <v>226</v>
      </c>
      <c r="K204" s="7">
        <v>127</v>
      </c>
      <c r="L204" s="37">
        <v>90</v>
      </c>
      <c r="M204" s="37">
        <v>11430</v>
      </c>
      <c r="N204" s="7">
        <v>190.5</v>
      </c>
      <c r="O204" s="7" t="s">
        <v>85</v>
      </c>
      <c r="P204" s="34">
        <v>127</v>
      </c>
      <c r="Q204" s="44"/>
      <c r="R204" s="34">
        <v>31469.5</v>
      </c>
      <c r="S204" s="32">
        <v>46098</v>
      </c>
      <c r="T204" s="34">
        <v>250</v>
      </c>
      <c r="U204" s="34">
        <v>59.5</v>
      </c>
      <c r="V204" s="34">
        <f t="shared" si="3"/>
        <v>0</v>
      </c>
    </row>
    <row r="205" spans="1:22" s="1" customFormat="1" x14ac:dyDescent="0.25">
      <c r="A205" s="33">
        <v>46098</v>
      </c>
      <c r="B205" s="9" t="s">
        <v>30</v>
      </c>
      <c r="C205" s="9" t="s">
        <v>40</v>
      </c>
      <c r="D205" s="35" t="s">
        <v>217</v>
      </c>
      <c r="E205" s="9" t="s">
        <v>218</v>
      </c>
      <c r="F205" s="35" t="s">
        <v>234</v>
      </c>
      <c r="G205" s="9" t="s">
        <v>55</v>
      </c>
      <c r="H205" s="9" t="s">
        <v>51</v>
      </c>
      <c r="I205" s="35">
        <v>11</v>
      </c>
      <c r="J205" s="9" t="s">
        <v>232</v>
      </c>
      <c r="K205" s="9">
        <v>127</v>
      </c>
      <c r="L205" s="38">
        <v>180</v>
      </c>
      <c r="M205" s="38">
        <v>22860</v>
      </c>
      <c r="N205" s="9">
        <v>381</v>
      </c>
      <c r="O205" s="9" t="s">
        <v>85</v>
      </c>
      <c r="P205" s="35">
        <v>127</v>
      </c>
      <c r="Q205" s="43"/>
      <c r="R205" s="35">
        <v>31299</v>
      </c>
      <c r="S205" s="35"/>
      <c r="T205" s="35">
        <v>0</v>
      </c>
      <c r="U205" s="35">
        <v>0</v>
      </c>
      <c r="V205" s="35">
        <f t="shared" si="3"/>
        <v>0</v>
      </c>
    </row>
    <row r="206" spans="1:22" s="4" customFormat="1" x14ac:dyDescent="0.25">
      <c r="A206" s="32">
        <v>46098</v>
      </c>
      <c r="B206" s="7" t="s">
        <v>27</v>
      </c>
      <c r="C206" s="7" t="s">
        <v>36</v>
      </c>
      <c r="D206" s="34" t="s">
        <v>217</v>
      </c>
      <c r="E206" s="7" t="s">
        <v>218</v>
      </c>
      <c r="F206" s="34" t="s">
        <v>236</v>
      </c>
      <c r="G206" s="7" t="s">
        <v>55</v>
      </c>
      <c r="H206" s="7" t="s">
        <v>48</v>
      </c>
      <c r="I206" s="34">
        <v>5</v>
      </c>
      <c r="J206" s="7" t="s">
        <v>132</v>
      </c>
      <c r="K206" s="7">
        <v>200</v>
      </c>
      <c r="L206" s="37">
        <v>40</v>
      </c>
      <c r="M206" s="37">
        <v>8000</v>
      </c>
      <c r="N206" s="7">
        <v>133.33333333333334</v>
      </c>
      <c r="O206" s="7" t="s">
        <v>85</v>
      </c>
      <c r="P206" s="34">
        <v>200</v>
      </c>
      <c r="Q206" s="44"/>
      <c r="R206" s="34">
        <v>31434.666666666668</v>
      </c>
      <c r="S206" s="32">
        <v>46098</v>
      </c>
      <c r="T206" s="34">
        <v>140</v>
      </c>
      <c r="U206" s="34">
        <v>6.6666666666666572</v>
      </c>
      <c r="V206" s="34">
        <f t="shared" si="3"/>
        <v>0</v>
      </c>
    </row>
    <row r="207" spans="1:22" s="1" customFormat="1" x14ac:dyDescent="0.25">
      <c r="A207" s="33">
        <v>46098</v>
      </c>
      <c r="B207" s="9" t="s">
        <v>214</v>
      </c>
      <c r="C207" s="9" t="s">
        <v>215</v>
      </c>
      <c r="D207" s="35" t="s">
        <v>217</v>
      </c>
      <c r="E207" s="9" t="s">
        <v>218</v>
      </c>
      <c r="F207" s="35" t="s">
        <v>236</v>
      </c>
      <c r="G207" s="9" t="s">
        <v>55</v>
      </c>
      <c r="H207" s="9" t="s">
        <v>48</v>
      </c>
      <c r="I207" s="35">
        <v>6</v>
      </c>
      <c r="J207" s="9" t="s">
        <v>223</v>
      </c>
      <c r="K207" s="9">
        <v>200</v>
      </c>
      <c r="L207" s="38">
        <v>90</v>
      </c>
      <c r="M207" s="38">
        <v>18000</v>
      </c>
      <c r="N207" s="9">
        <v>300</v>
      </c>
      <c r="O207" s="9" t="s">
        <v>85</v>
      </c>
      <c r="P207" s="35">
        <v>200</v>
      </c>
      <c r="Q207" s="43"/>
      <c r="R207" s="35">
        <v>31070</v>
      </c>
      <c r="S207" s="33">
        <v>46098</v>
      </c>
      <c r="T207" s="35">
        <v>520</v>
      </c>
      <c r="U207" s="35">
        <v>220</v>
      </c>
      <c r="V207" s="35">
        <f t="shared" si="3"/>
        <v>0</v>
      </c>
    </row>
    <row r="208" spans="1:22" s="4" customFormat="1" x14ac:dyDescent="0.25">
      <c r="A208" s="32">
        <v>46098</v>
      </c>
      <c r="B208" s="7" t="s">
        <v>27</v>
      </c>
      <c r="C208" s="7" t="s">
        <v>36</v>
      </c>
      <c r="D208" s="34" t="s">
        <v>217</v>
      </c>
      <c r="E208" s="7" t="s">
        <v>218</v>
      </c>
      <c r="F208" s="34" t="s">
        <v>236</v>
      </c>
      <c r="G208" s="7" t="s">
        <v>55</v>
      </c>
      <c r="H208" s="7" t="s">
        <v>48</v>
      </c>
      <c r="I208" s="34">
        <v>7</v>
      </c>
      <c r="J208" s="7" t="s">
        <v>225</v>
      </c>
      <c r="K208" s="7">
        <v>200</v>
      </c>
      <c r="L208" s="37">
        <v>120</v>
      </c>
      <c r="M208" s="37">
        <v>24000</v>
      </c>
      <c r="N208" s="7">
        <v>400</v>
      </c>
      <c r="O208" s="7" t="s">
        <v>85</v>
      </c>
      <c r="P208" s="34">
        <v>200</v>
      </c>
      <c r="Q208" s="44"/>
      <c r="R208" s="34">
        <v>31035</v>
      </c>
      <c r="S208" s="32">
        <v>46098</v>
      </c>
      <c r="T208" s="34">
        <v>500</v>
      </c>
      <c r="U208" s="34">
        <v>100</v>
      </c>
      <c r="V208" s="34">
        <f t="shared" si="3"/>
        <v>0</v>
      </c>
    </row>
    <row r="209" spans="1:22" s="1" customFormat="1" x14ac:dyDescent="0.25">
      <c r="A209" s="33">
        <v>46098</v>
      </c>
      <c r="B209" s="9" t="s">
        <v>122</v>
      </c>
      <c r="C209" s="9" t="s">
        <v>212</v>
      </c>
      <c r="D209" s="35" t="s">
        <v>217</v>
      </c>
      <c r="E209" s="9" t="s">
        <v>218</v>
      </c>
      <c r="F209" s="35" t="s">
        <v>237</v>
      </c>
      <c r="G209" s="9" t="s">
        <v>55</v>
      </c>
      <c r="H209" s="9" t="s">
        <v>49</v>
      </c>
      <c r="I209" s="35">
        <v>3</v>
      </c>
      <c r="J209" s="9" t="s">
        <v>221</v>
      </c>
      <c r="K209" s="9">
        <v>127</v>
      </c>
      <c r="L209" s="38">
        <v>30</v>
      </c>
      <c r="M209" s="38">
        <v>3810</v>
      </c>
      <c r="N209" s="9">
        <v>63.5</v>
      </c>
      <c r="O209" s="9" t="s">
        <v>85</v>
      </c>
      <c r="P209" s="35">
        <v>127</v>
      </c>
      <c r="Q209" s="43"/>
      <c r="R209" s="35">
        <v>31616.5</v>
      </c>
      <c r="S209" s="33">
        <v>46098</v>
      </c>
      <c r="T209" s="35">
        <v>70</v>
      </c>
      <c r="U209" s="35">
        <v>6.5</v>
      </c>
      <c r="V209" s="35">
        <f t="shared" si="3"/>
        <v>0</v>
      </c>
    </row>
    <row r="210" spans="1:22" s="4" customFormat="1" x14ac:dyDescent="0.25">
      <c r="A210" s="32">
        <v>46098</v>
      </c>
      <c r="B210" s="7" t="s">
        <v>27</v>
      </c>
      <c r="C210" s="7" t="s">
        <v>36</v>
      </c>
      <c r="D210" s="34" t="s">
        <v>217</v>
      </c>
      <c r="E210" s="7" t="s">
        <v>218</v>
      </c>
      <c r="F210" s="34" t="s">
        <v>237</v>
      </c>
      <c r="G210" s="7" t="s">
        <v>55</v>
      </c>
      <c r="H210" s="7" t="s">
        <v>49</v>
      </c>
      <c r="I210" s="34">
        <v>5</v>
      </c>
      <c r="J210" s="7" t="s">
        <v>132</v>
      </c>
      <c r="K210" s="7">
        <v>127</v>
      </c>
      <c r="L210" s="37">
        <v>40</v>
      </c>
      <c r="M210" s="37">
        <v>5080</v>
      </c>
      <c r="N210" s="7">
        <v>84.666666666666671</v>
      </c>
      <c r="O210" s="7" t="s">
        <v>85</v>
      </c>
      <c r="P210" s="34">
        <v>127</v>
      </c>
      <c r="Q210" s="44"/>
      <c r="R210" s="34">
        <v>30950.333333333332</v>
      </c>
      <c r="S210" s="32">
        <v>46099</v>
      </c>
      <c r="T210" s="34">
        <v>90</v>
      </c>
      <c r="U210" s="34">
        <v>5.3333333333333286</v>
      </c>
      <c r="V210" s="34">
        <f t="shared" si="3"/>
        <v>0</v>
      </c>
    </row>
    <row r="211" spans="1:22" s="1" customFormat="1" x14ac:dyDescent="0.25">
      <c r="A211" s="33">
        <v>46098</v>
      </c>
      <c r="B211" s="9" t="s">
        <v>122</v>
      </c>
      <c r="C211" s="9" t="s">
        <v>212</v>
      </c>
      <c r="D211" s="35" t="s">
        <v>217</v>
      </c>
      <c r="E211" s="9" t="s">
        <v>218</v>
      </c>
      <c r="F211" s="35" t="s">
        <v>237</v>
      </c>
      <c r="G211" s="9" t="s">
        <v>55</v>
      </c>
      <c r="H211" s="9" t="s">
        <v>49</v>
      </c>
      <c r="I211" s="35">
        <v>8</v>
      </c>
      <c r="J211" s="9" t="s">
        <v>226</v>
      </c>
      <c r="K211" s="9">
        <v>127</v>
      </c>
      <c r="L211" s="38">
        <v>90</v>
      </c>
      <c r="M211" s="38">
        <v>11430</v>
      </c>
      <c r="N211" s="9">
        <v>190.5</v>
      </c>
      <c r="O211" s="9" t="s">
        <v>85</v>
      </c>
      <c r="P211" s="35">
        <v>127</v>
      </c>
      <c r="Q211" s="43"/>
      <c r="R211" s="35">
        <v>31426.5</v>
      </c>
      <c r="S211" s="35"/>
      <c r="T211" s="35">
        <v>0</v>
      </c>
      <c r="U211" s="35">
        <v>0</v>
      </c>
      <c r="V211" s="35">
        <f t="shared" si="3"/>
        <v>0</v>
      </c>
    </row>
    <row r="212" spans="1:22" s="4" customFormat="1" x14ac:dyDescent="0.25">
      <c r="A212" s="32">
        <v>46098</v>
      </c>
      <c r="B212" s="7" t="s">
        <v>122</v>
      </c>
      <c r="C212" s="7" t="s">
        <v>212</v>
      </c>
      <c r="D212" s="34" t="s">
        <v>217</v>
      </c>
      <c r="E212" s="7" t="s">
        <v>218</v>
      </c>
      <c r="F212" s="34" t="s">
        <v>238</v>
      </c>
      <c r="G212" s="7" t="s">
        <v>55</v>
      </c>
      <c r="H212" s="7" t="s">
        <v>50</v>
      </c>
      <c r="I212" s="34">
        <v>3</v>
      </c>
      <c r="J212" s="7" t="s">
        <v>221</v>
      </c>
      <c r="K212" s="7">
        <v>64</v>
      </c>
      <c r="L212" s="37">
        <v>30</v>
      </c>
      <c r="M212" s="37">
        <v>1920</v>
      </c>
      <c r="N212" s="7">
        <v>32</v>
      </c>
      <c r="O212" s="7" t="s">
        <v>85</v>
      </c>
      <c r="P212" s="34">
        <v>64</v>
      </c>
      <c r="Q212" s="44"/>
      <c r="R212" s="34">
        <v>31395</v>
      </c>
      <c r="S212" s="32">
        <v>46098</v>
      </c>
      <c r="T212" s="34">
        <v>35</v>
      </c>
      <c r="U212" s="34">
        <v>3</v>
      </c>
      <c r="V212" s="34">
        <f t="shared" si="3"/>
        <v>0</v>
      </c>
    </row>
    <row r="213" spans="1:22" s="1" customFormat="1" x14ac:dyDescent="0.25">
      <c r="A213" s="33">
        <v>46099</v>
      </c>
      <c r="B213" s="9" t="s">
        <v>27</v>
      </c>
      <c r="C213" s="9" t="s">
        <v>36</v>
      </c>
      <c r="D213" s="35" t="s">
        <v>217</v>
      </c>
      <c r="E213" s="9" t="s">
        <v>218</v>
      </c>
      <c r="F213" s="35" t="s">
        <v>238</v>
      </c>
      <c r="G213" s="9" t="s">
        <v>55</v>
      </c>
      <c r="H213" s="9" t="s">
        <v>50</v>
      </c>
      <c r="I213" s="35">
        <v>5</v>
      </c>
      <c r="J213" s="9" t="s">
        <v>132</v>
      </c>
      <c r="K213" s="9">
        <v>64</v>
      </c>
      <c r="L213" s="38">
        <v>40</v>
      </c>
      <c r="M213" s="38">
        <v>2560</v>
      </c>
      <c r="N213" s="9">
        <v>42.666666666666664</v>
      </c>
      <c r="O213" s="9" t="s">
        <v>85</v>
      </c>
      <c r="P213" s="35">
        <v>64</v>
      </c>
      <c r="Q213" s="43"/>
      <c r="R213" s="35">
        <v>31637.333333333332</v>
      </c>
      <c r="S213" s="33">
        <v>46099</v>
      </c>
      <c r="T213" s="35">
        <v>45</v>
      </c>
      <c r="U213" s="35">
        <v>2.3333333333333357</v>
      </c>
      <c r="V213" s="35">
        <f t="shared" si="3"/>
        <v>0</v>
      </c>
    </row>
    <row r="214" spans="1:22" s="4" customFormat="1" x14ac:dyDescent="0.25">
      <c r="A214" s="32">
        <v>46101</v>
      </c>
      <c r="B214" s="7" t="s">
        <v>29</v>
      </c>
      <c r="C214" s="7" t="s">
        <v>38</v>
      </c>
      <c r="D214" s="34" t="s">
        <v>217</v>
      </c>
      <c r="E214" s="7" t="s">
        <v>218</v>
      </c>
      <c r="F214" s="34" t="s">
        <v>234</v>
      </c>
      <c r="G214" s="7" t="s">
        <v>55</v>
      </c>
      <c r="H214" s="7" t="s">
        <v>51</v>
      </c>
      <c r="I214" s="34">
        <v>10</v>
      </c>
      <c r="J214" s="7" t="s">
        <v>230</v>
      </c>
      <c r="K214" s="7">
        <v>127</v>
      </c>
      <c r="L214" s="37">
        <v>45</v>
      </c>
      <c r="M214" s="37">
        <v>5715</v>
      </c>
      <c r="N214" s="7">
        <v>95.25</v>
      </c>
      <c r="O214" s="7" t="s">
        <v>85</v>
      </c>
      <c r="P214" s="34">
        <v>127</v>
      </c>
      <c r="Q214" s="44"/>
      <c r="R214" s="34">
        <v>31584.75</v>
      </c>
      <c r="S214" s="32">
        <v>46101</v>
      </c>
      <c r="T214" s="34">
        <v>120</v>
      </c>
      <c r="U214" s="34">
        <v>24.75</v>
      </c>
      <c r="V214" s="34">
        <f t="shared" si="3"/>
        <v>0</v>
      </c>
    </row>
    <row r="215" spans="1:22" s="1" customFormat="1" x14ac:dyDescent="0.25">
      <c r="A215" s="33">
        <v>46101</v>
      </c>
      <c r="B215" s="9" t="s">
        <v>29</v>
      </c>
      <c r="C215" s="9" t="s">
        <v>38</v>
      </c>
      <c r="D215" s="35" t="s">
        <v>217</v>
      </c>
      <c r="E215" s="9" t="s">
        <v>218</v>
      </c>
      <c r="F215" s="35" t="s">
        <v>234</v>
      </c>
      <c r="G215" s="9" t="s">
        <v>55</v>
      </c>
      <c r="H215" s="9" t="s">
        <v>51</v>
      </c>
      <c r="I215" s="35">
        <v>12</v>
      </c>
      <c r="J215" s="9" t="s">
        <v>233</v>
      </c>
      <c r="K215" s="9">
        <v>127</v>
      </c>
      <c r="L215" s="38">
        <v>30</v>
      </c>
      <c r="M215" s="38">
        <v>3810</v>
      </c>
      <c r="N215" s="9">
        <v>63.5</v>
      </c>
      <c r="O215" s="9" t="s">
        <v>85</v>
      </c>
      <c r="P215" s="35">
        <v>127</v>
      </c>
      <c r="Q215" s="43"/>
      <c r="R215" s="35">
        <v>31521.5</v>
      </c>
      <c r="S215" s="33">
        <v>46101</v>
      </c>
      <c r="T215" s="35">
        <v>65</v>
      </c>
      <c r="U215" s="35">
        <v>1.5</v>
      </c>
      <c r="V215" s="35">
        <f t="shared" si="3"/>
        <v>0</v>
      </c>
    </row>
    <row r="216" spans="1:22" s="4" customFormat="1" x14ac:dyDescent="0.25">
      <c r="A216" s="32">
        <v>46101</v>
      </c>
      <c r="B216" s="7" t="s">
        <v>122</v>
      </c>
      <c r="C216" s="7" t="s">
        <v>212</v>
      </c>
      <c r="D216" s="34" t="s">
        <v>217</v>
      </c>
      <c r="E216" s="7" t="s">
        <v>218</v>
      </c>
      <c r="F216" s="34" t="s">
        <v>234</v>
      </c>
      <c r="G216" s="7" t="s">
        <v>55</v>
      </c>
      <c r="H216" s="7" t="s">
        <v>51</v>
      </c>
      <c r="I216" s="34">
        <v>9</v>
      </c>
      <c r="J216" s="7" t="s">
        <v>228</v>
      </c>
      <c r="K216" s="7">
        <v>127</v>
      </c>
      <c r="L216" s="37">
        <v>45</v>
      </c>
      <c r="M216" s="37">
        <v>5715</v>
      </c>
      <c r="N216" s="7">
        <v>95.25</v>
      </c>
      <c r="O216" s="7" t="s">
        <v>85</v>
      </c>
      <c r="P216" s="34">
        <v>127</v>
      </c>
      <c r="Q216" s="44"/>
      <c r="R216" s="34">
        <v>31584.75</v>
      </c>
      <c r="S216" s="32">
        <v>46101</v>
      </c>
      <c r="T216" s="34">
        <v>120</v>
      </c>
      <c r="U216" s="34">
        <v>24.75</v>
      </c>
      <c r="V216" s="34">
        <f t="shared" si="3"/>
        <v>0</v>
      </c>
    </row>
    <row r="217" spans="1:22" s="1" customFormat="1" x14ac:dyDescent="0.25">
      <c r="A217" s="33">
        <v>46101</v>
      </c>
      <c r="B217" s="9" t="s">
        <v>29</v>
      </c>
      <c r="C217" s="9" t="s">
        <v>38</v>
      </c>
      <c r="D217" s="35" t="s">
        <v>217</v>
      </c>
      <c r="E217" s="9" t="s">
        <v>218</v>
      </c>
      <c r="F217" s="35" t="s">
        <v>236</v>
      </c>
      <c r="G217" s="9" t="s">
        <v>55</v>
      </c>
      <c r="H217" s="9" t="s">
        <v>48</v>
      </c>
      <c r="I217" s="35">
        <v>8</v>
      </c>
      <c r="J217" s="9" t="s">
        <v>226</v>
      </c>
      <c r="K217" s="9">
        <v>200</v>
      </c>
      <c r="L217" s="38">
        <v>90</v>
      </c>
      <c r="M217" s="38">
        <v>18000</v>
      </c>
      <c r="N217" s="9">
        <v>300</v>
      </c>
      <c r="O217" s="9" t="s">
        <v>85</v>
      </c>
      <c r="P217" s="35">
        <v>200</v>
      </c>
      <c r="Q217" s="43"/>
      <c r="R217" s="35">
        <v>31222</v>
      </c>
      <c r="S217" s="33">
        <v>46101</v>
      </c>
      <c r="T217" s="35">
        <v>350</v>
      </c>
      <c r="U217" s="35">
        <v>50</v>
      </c>
      <c r="V217" s="35">
        <f t="shared" si="3"/>
        <v>0</v>
      </c>
    </row>
    <row r="218" spans="1:22" s="4" customFormat="1" x14ac:dyDescent="0.25">
      <c r="A218" s="32">
        <v>46101</v>
      </c>
      <c r="B218" s="7" t="s">
        <v>122</v>
      </c>
      <c r="C218" s="7" t="s">
        <v>212</v>
      </c>
      <c r="D218" s="34" t="s">
        <v>217</v>
      </c>
      <c r="E218" s="7" t="s">
        <v>218</v>
      </c>
      <c r="F218" s="34" t="s">
        <v>236</v>
      </c>
      <c r="G218" s="7" t="s">
        <v>55</v>
      </c>
      <c r="H218" s="7" t="s">
        <v>48</v>
      </c>
      <c r="I218" s="34">
        <v>9</v>
      </c>
      <c r="J218" s="7" t="s">
        <v>228</v>
      </c>
      <c r="K218" s="7">
        <v>200</v>
      </c>
      <c r="L218" s="37">
        <v>45</v>
      </c>
      <c r="M218" s="37">
        <v>9000</v>
      </c>
      <c r="N218" s="7">
        <v>150</v>
      </c>
      <c r="O218" s="7" t="s">
        <v>85</v>
      </c>
      <c r="P218" s="34">
        <v>200</v>
      </c>
      <c r="Q218" s="44"/>
      <c r="R218" s="34">
        <v>31435</v>
      </c>
      <c r="S218" s="32">
        <v>46101</v>
      </c>
      <c r="T218" s="34">
        <v>200</v>
      </c>
      <c r="U218" s="34">
        <v>50</v>
      </c>
      <c r="V218" s="34">
        <f t="shared" si="3"/>
        <v>0</v>
      </c>
    </row>
    <row r="219" spans="1:22" s="1" customFormat="1" x14ac:dyDescent="0.25">
      <c r="A219" s="33">
        <v>46101</v>
      </c>
      <c r="B219" s="9" t="s">
        <v>29</v>
      </c>
      <c r="C219" s="9" t="s">
        <v>38</v>
      </c>
      <c r="D219" s="35" t="s">
        <v>217</v>
      </c>
      <c r="E219" s="9" t="s">
        <v>218</v>
      </c>
      <c r="F219" s="35" t="s">
        <v>236</v>
      </c>
      <c r="G219" s="9" t="s">
        <v>55</v>
      </c>
      <c r="H219" s="9" t="s">
        <v>48</v>
      </c>
      <c r="I219" s="35">
        <v>10</v>
      </c>
      <c r="J219" s="9" t="s">
        <v>230</v>
      </c>
      <c r="K219" s="9">
        <v>200</v>
      </c>
      <c r="L219" s="38">
        <v>45</v>
      </c>
      <c r="M219" s="38">
        <v>9000</v>
      </c>
      <c r="N219" s="9">
        <v>150</v>
      </c>
      <c r="O219" s="9" t="s">
        <v>85</v>
      </c>
      <c r="P219" s="35">
        <v>200</v>
      </c>
      <c r="Q219" s="43"/>
      <c r="R219" s="35">
        <v>31072</v>
      </c>
      <c r="S219" s="33">
        <v>46101</v>
      </c>
      <c r="T219" s="35">
        <v>180</v>
      </c>
      <c r="U219" s="35">
        <v>30</v>
      </c>
      <c r="V219" s="35">
        <f t="shared" si="3"/>
        <v>0</v>
      </c>
    </row>
    <row r="220" spans="1:22" s="4" customFormat="1" x14ac:dyDescent="0.25">
      <c r="A220" s="32">
        <v>46101</v>
      </c>
      <c r="B220" s="7" t="s">
        <v>30</v>
      </c>
      <c r="C220" s="7" t="s">
        <v>40</v>
      </c>
      <c r="D220" s="34" t="s">
        <v>217</v>
      </c>
      <c r="E220" s="7" t="s">
        <v>218</v>
      </c>
      <c r="F220" s="34" t="s">
        <v>236</v>
      </c>
      <c r="G220" s="7" t="s">
        <v>55</v>
      </c>
      <c r="H220" s="7" t="s">
        <v>48</v>
      </c>
      <c r="I220" s="34">
        <v>11</v>
      </c>
      <c r="J220" s="7" t="s">
        <v>232</v>
      </c>
      <c r="K220" s="7">
        <v>200</v>
      </c>
      <c r="L220" s="37">
        <v>180</v>
      </c>
      <c r="M220" s="37">
        <v>36000</v>
      </c>
      <c r="N220" s="7">
        <v>600</v>
      </c>
      <c r="O220" s="7" t="s">
        <v>85</v>
      </c>
      <c r="P220" s="34">
        <v>200</v>
      </c>
      <c r="Q220" s="44"/>
      <c r="R220" s="34">
        <v>31080</v>
      </c>
      <c r="S220" s="32">
        <v>46101</v>
      </c>
      <c r="T220" s="34">
        <v>700</v>
      </c>
      <c r="U220" s="34">
        <v>100</v>
      </c>
      <c r="V220" s="34">
        <f t="shared" si="3"/>
        <v>0</v>
      </c>
    </row>
    <row r="221" spans="1:22" s="1" customFormat="1" x14ac:dyDescent="0.25">
      <c r="A221" s="33">
        <v>46101</v>
      </c>
      <c r="B221" s="9" t="s">
        <v>29</v>
      </c>
      <c r="C221" s="9" t="s">
        <v>38</v>
      </c>
      <c r="D221" s="35" t="s">
        <v>217</v>
      </c>
      <c r="E221" s="9" t="s">
        <v>218</v>
      </c>
      <c r="F221" s="35" t="s">
        <v>236</v>
      </c>
      <c r="G221" s="9" t="s">
        <v>55</v>
      </c>
      <c r="H221" s="9" t="s">
        <v>48</v>
      </c>
      <c r="I221" s="35">
        <v>12</v>
      </c>
      <c r="J221" s="9" t="s">
        <v>233</v>
      </c>
      <c r="K221" s="9">
        <v>200</v>
      </c>
      <c r="L221" s="38">
        <v>30</v>
      </c>
      <c r="M221" s="38">
        <v>6000</v>
      </c>
      <c r="N221" s="9">
        <v>100</v>
      </c>
      <c r="O221" s="9" t="s">
        <v>85</v>
      </c>
      <c r="P221" s="35">
        <v>200</v>
      </c>
      <c r="Q221" s="43"/>
      <c r="R221" s="35">
        <v>30972</v>
      </c>
      <c r="S221" s="33">
        <v>46101</v>
      </c>
      <c r="T221" s="35">
        <v>100</v>
      </c>
      <c r="U221" s="35">
        <v>0</v>
      </c>
      <c r="V221" s="35">
        <f t="shared" si="3"/>
        <v>0</v>
      </c>
    </row>
    <row r="222" spans="1:22" s="4" customFormat="1" x14ac:dyDescent="0.25">
      <c r="A222" s="32">
        <v>46101</v>
      </c>
      <c r="B222" s="7" t="s">
        <v>27</v>
      </c>
      <c r="C222" s="7" t="s">
        <v>36</v>
      </c>
      <c r="D222" s="34" t="s">
        <v>217</v>
      </c>
      <c r="E222" s="7" t="s">
        <v>218</v>
      </c>
      <c r="F222" s="34" t="s">
        <v>237</v>
      </c>
      <c r="G222" s="7" t="s">
        <v>55</v>
      </c>
      <c r="H222" s="7" t="s">
        <v>49</v>
      </c>
      <c r="I222" s="34">
        <v>6</v>
      </c>
      <c r="J222" s="7" t="s">
        <v>223</v>
      </c>
      <c r="K222" s="7">
        <v>127</v>
      </c>
      <c r="L222" s="37">
        <v>90</v>
      </c>
      <c r="M222" s="37">
        <v>11430</v>
      </c>
      <c r="N222" s="7">
        <v>190.5</v>
      </c>
      <c r="O222" s="7" t="s">
        <v>85</v>
      </c>
      <c r="P222" s="34">
        <v>127</v>
      </c>
      <c r="Q222" s="44"/>
      <c r="R222" s="34">
        <v>31489.5</v>
      </c>
      <c r="S222" s="32">
        <v>46101</v>
      </c>
      <c r="T222" s="34">
        <v>200</v>
      </c>
      <c r="U222" s="34">
        <v>9.5</v>
      </c>
      <c r="V222" s="34">
        <f t="shared" si="3"/>
        <v>0</v>
      </c>
    </row>
    <row r="223" spans="1:22" s="1" customFormat="1" x14ac:dyDescent="0.25">
      <c r="A223" s="33">
        <v>46101</v>
      </c>
      <c r="B223" s="9" t="s">
        <v>27</v>
      </c>
      <c r="C223" s="9" t="s">
        <v>36</v>
      </c>
      <c r="D223" s="35" t="s">
        <v>217</v>
      </c>
      <c r="E223" s="9" t="s">
        <v>218</v>
      </c>
      <c r="F223" s="35" t="s">
        <v>237</v>
      </c>
      <c r="G223" s="9" t="s">
        <v>55</v>
      </c>
      <c r="H223" s="9" t="s">
        <v>49</v>
      </c>
      <c r="I223" s="35">
        <v>7</v>
      </c>
      <c r="J223" s="9" t="s">
        <v>225</v>
      </c>
      <c r="K223" s="9">
        <v>127</v>
      </c>
      <c r="L223" s="38">
        <v>120</v>
      </c>
      <c r="M223" s="38">
        <v>15240</v>
      </c>
      <c r="N223" s="9">
        <v>254</v>
      </c>
      <c r="O223" s="9" t="s">
        <v>85</v>
      </c>
      <c r="P223" s="35">
        <v>127</v>
      </c>
      <c r="Q223" s="43"/>
      <c r="R223" s="35">
        <v>31236</v>
      </c>
      <c r="S223" s="33">
        <v>46101</v>
      </c>
      <c r="T223" s="35">
        <v>300</v>
      </c>
      <c r="U223" s="35">
        <v>46</v>
      </c>
      <c r="V223" s="35">
        <f t="shared" si="3"/>
        <v>0</v>
      </c>
    </row>
    <row r="224" spans="1:22" s="4" customFormat="1" x14ac:dyDescent="0.25">
      <c r="A224" s="32">
        <v>46101</v>
      </c>
      <c r="B224" s="7" t="s">
        <v>29</v>
      </c>
      <c r="C224" s="7" t="s">
        <v>38</v>
      </c>
      <c r="D224" s="34" t="s">
        <v>217</v>
      </c>
      <c r="E224" s="7" t="s">
        <v>218</v>
      </c>
      <c r="F224" s="34" t="s">
        <v>237</v>
      </c>
      <c r="G224" s="7" t="s">
        <v>55</v>
      </c>
      <c r="H224" s="7" t="s">
        <v>49</v>
      </c>
      <c r="I224" s="34">
        <v>10</v>
      </c>
      <c r="J224" s="7" t="s">
        <v>230</v>
      </c>
      <c r="K224" s="7">
        <v>127</v>
      </c>
      <c r="L224" s="37">
        <v>45</v>
      </c>
      <c r="M224" s="37">
        <v>5715</v>
      </c>
      <c r="N224" s="7">
        <v>95.25</v>
      </c>
      <c r="O224" s="7" t="s">
        <v>85</v>
      </c>
      <c r="P224" s="34">
        <v>127</v>
      </c>
      <c r="Q224" s="44"/>
      <c r="R224" s="34">
        <v>30876.75</v>
      </c>
      <c r="S224" s="32">
        <v>46105</v>
      </c>
      <c r="T224" s="34">
        <v>120</v>
      </c>
      <c r="U224" s="34">
        <v>24.75</v>
      </c>
      <c r="V224" s="34">
        <f t="shared" si="3"/>
        <v>0</v>
      </c>
    </row>
    <row r="225" spans="1:22" s="1" customFormat="1" x14ac:dyDescent="0.25">
      <c r="A225" s="33">
        <v>46101</v>
      </c>
      <c r="B225" s="9" t="s">
        <v>30</v>
      </c>
      <c r="C225" s="9" t="s">
        <v>40</v>
      </c>
      <c r="D225" s="35" t="s">
        <v>217</v>
      </c>
      <c r="E225" s="9" t="s">
        <v>218</v>
      </c>
      <c r="F225" s="35" t="s">
        <v>237</v>
      </c>
      <c r="G225" s="9" t="s">
        <v>55</v>
      </c>
      <c r="H225" s="9" t="s">
        <v>49</v>
      </c>
      <c r="I225" s="35">
        <v>9</v>
      </c>
      <c r="J225" s="9" t="s">
        <v>228</v>
      </c>
      <c r="K225" s="9">
        <v>127</v>
      </c>
      <c r="L225" s="38">
        <v>45</v>
      </c>
      <c r="M225" s="38">
        <v>5715</v>
      </c>
      <c r="N225" s="9">
        <v>95.25</v>
      </c>
      <c r="O225" s="9" t="s">
        <v>85</v>
      </c>
      <c r="P225" s="35">
        <v>127</v>
      </c>
      <c r="Q225" s="43"/>
      <c r="R225" s="35">
        <v>30984.75</v>
      </c>
      <c r="S225" s="33">
        <v>46101</v>
      </c>
      <c r="T225" s="35">
        <v>120</v>
      </c>
      <c r="U225" s="35">
        <v>24.75</v>
      </c>
      <c r="V225" s="35">
        <f t="shared" si="3"/>
        <v>0</v>
      </c>
    </row>
    <row r="226" spans="1:22" s="4" customFormat="1" x14ac:dyDescent="0.25">
      <c r="A226" s="32">
        <v>46101</v>
      </c>
      <c r="B226" s="7" t="s">
        <v>30</v>
      </c>
      <c r="C226" s="7" t="s">
        <v>40</v>
      </c>
      <c r="D226" s="34" t="s">
        <v>217</v>
      </c>
      <c r="E226" s="7" t="s">
        <v>218</v>
      </c>
      <c r="F226" s="34" t="s">
        <v>237</v>
      </c>
      <c r="G226" s="7" t="s">
        <v>55</v>
      </c>
      <c r="H226" s="7" t="s">
        <v>49</v>
      </c>
      <c r="I226" s="34">
        <v>11</v>
      </c>
      <c r="J226" s="7" t="s">
        <v>232</v>
      </c>
      <c r="K226" s="7">
        <v>127</v>
      </c>
      <c r="L226" s="37">
        <v>180</v>
      </c>
      <c r="M226" s="37">
        <v>22860</v>
      </c>
      <c r="N226" s="7">
        <v>381</v>
      </c>
      <c r="O226" s="7" t="s">
        <v>85</v>
      </c>
      <c r="P226" s="34">
        <v>127</v>
      </c>
      <c r="Q226" s="44"/>
      <c r="R226" s="34">
        <v>30604</v>
      </c>
      <c r="S226" s="32">
        <v>45740</v>
      </c>
      <c r="T226" s="34">
        <v>400</v>
      </c>
      <c r="U226" s="34">
        <v>19</v>
      </c>
      <c r="V226" s="34">
        <f t="shared" si="3"/>
        <v>0</v>
      </c>
    </row>
    <row r="227" spans="1:22" s="1" customFormat="1" x14ac:dyDescent="0.25">
      <c r="A227" s="33">
        <v>46101</v>
      </c>
      <c r="B227" s="9" t="s">
        <v>29</v>
      </c>
      <c r="C227" s="9" t="s">
        <v>38</v>
      </c>
      <c r="D227" s="35" t="s">
        <v>217</v>
      </c>
      <c r="E227" s="9" t="s">
        <v>218</v>
      </c>
      <c r="F227" s="35" t="s">
        <v>237</v>
      </c>
      <c r="G227" s="9" t="s">
        <v>55</v>
      </c>
      <c r="H227" s="9" t="s">
        <v>49</v>
      </c>
      <c r="I227" s="35">
        <v>12</v>
      </c>
      <c r="J227" s="9" t="s">
        <v>233</v>
      </c>
      <c r="K227" s="9">
        <v>127</v>
      </c>
      <c r="L227" s="38">
        <v>30</v>
      </c>
      <c r="M227" s="38">
        <v>3810</v>
      </c>
      <c r="N227" s="9">
        <v>63.5</v>
      </c>
      <c r="O227" s="9" t="s">
        <v>85</v>
      </c>
      <c r="P227" s="35">
        <v>127</v>
      </c>
      <c r="Q227" s="43"/>
      <c r="R227" s="35">
        <v>30813.5</v>
      </c>
      <c r="S227" s="33">
        <v>46105</v>
      </c>
      <c r="T227" s="35">
        <v>65</v>
      </c>
      <c r="U227" s="35">
        <v>1.5</v>
      </c>
      <c r="V227" s="35">
        <f t="shared" si="3"/>
        <v>0</v>
      </c>
    </row>
    <row r="228" spans="1:22" s="4" customFormat="1" x14ac:dyDescent="0.25">
      <c r="A228" s="32">
        <v>46101</v>
      </c>
      <c r="B228" s="7" t="s">
        <v>27</v>
      </c>
      <c r="C228" s="7" t="s">
        <v>36</v>
      </c>
      <c r="D228" s="34" t="s">
        <v>217</v>
      </c>
      <c r="E228" s="7" t="s">
        <v>218</v>
      </c>
      <c r="F228" s="34" t="s">
        <v>238</v>
      </c>
      <c r="G228" s="7" t="s">
        <v>55</v>
      </c>
      <c r="H228" s="7" t="s">
        <v>50</v>
      </c>
      <c r="I228" s="34">
        <v>6</v>
      </c>
      <c r="J228" s="7" t="s">
        <v>223</v>
      </c>
      <c r="K228" s="7">
        <v>64</v>
      </c>
      <c r="L228" s="37">
        <v>90</v>
      </c>
      <c r="M228" s="37">
        <v>5760</v>
      </c>
      <c r="N228" s="7">
        <v>96</v>
      </c>
      <c r="O228" s="7" t="s">
        <v>85</v>
      </c>
      <c r="P228" s="34">
        <v>64</v>
      </c>
      <c r="Q228" s="44"/>
      <c r="R228" s="34">
        <v>31140</v>
      </c>
      <c r="S228" s="34"/>
      <c r="T228" s="34">
        <v>0</v>
      </c>
      <c r="U228" s="34">
        <v>0</v>
      </c>
      <c r="V228" s="34">
        <f t="shared" si="3"/>
        <v>0</v>
      </c>
    </row>
    <row r="229" spans="1:22" s="1" customFormat="1" x14ac:dyDescent="0.25">
      <c r="A229" s="33">
        <v>46101</v>
      </c>
      <c r="B229" s="9" t="s">
        <v>27</v>
      </c>
      <c r="C229" s="9" t="s">
        <v>36</v>
      </c>
      <c r="D229" s="35" t="s">
        <v>217</v>
      </c>
      <c r="E229" s="9" t="s">
        <v>218</v>
      </c>
      <c r="F229" s="35" t="s">
        <v>238</v>
      </c>
      <c r="G229" s="9" t="s">
        <v>55</v>
      </c>
      <c r="H229" s="9" t="s">
        <v>50</v>
      </c>
      <c r="I229" s="35">
        <v>11</v>
      </c>
      <c r="J229" s="9" t="s">
        <v>232</v>
      </c>
      <c r="K229" s="9">
        <v>64</v>
      </c>
      <c r="L229" s="38">
        <v>180</v>
      </c>
      <c r="M229" s="38">
        <v>11520</v>
      </c>
      <c r="N229" s="9">
        <v>192</v>
      </c>
      <c r="O229" s="9" t="s">
        <v>85</v>
      </c>
      <c r="P229" s="35">
        <v>64</v>
      </c>
      <c r="Q229" s="43"/>
      <c r="R229" s="35">
        <v>31243</v>
      </c>
      <c r="S229" s="33">
        <v>46105</v>
      </c>
      <c r="T229" s="35">
        <v>200</v>
      </c>
      <c r="U229" s="35">
        <v>8</v>
      </c>
      <c r="V229" s="35">
        <f t="shared" si="3"/>
        <v>0</v>
      </c>
    </row>
    <row r="230" spans="1:22" s="4" customFormat="1" x14ac:dyDescent="0.25">
      <c r="A230" s="32">
        <v>46101</v>
      </c>
      <c r="B230" s="7" t="s">
        <v>27</v>
      </c>
      <c r="C230" s="7" t="s">
        <v>36</v>
      </c>
      <c r="D230" s="34" t="s">
        <v>217</v>
      </c>
      <c r="E230" s="7" t="s">
        <v>218</v>
      </c>
      <c r="F230" s="34" t="s">
        <v>238</v>
      </c>
      <c r="G230" s="7" t="s">
        <v>55</v>
      </c>
      <c r="H230" s="7" t="s">
        <v>50</v>
      </c>
      <c r="I230" s="34">
        <v>7</v>
      </c>
      <c r="J230" s="7" t="s">
        <v>225</v>
      </c>
      <c r="K230" s="7">
        <v>64</v>
      </c>
      <c r="L230" s="37">
        <v>120</v>
      </c>
      <c r="M230" s="37">
        <v>7680</v>
      </c>
      <c r="N230" s="7">
        <v>128</v>
      </c>
      <c r="O230" s="7" t="s">
        <v>85</v>
      </c>
      <c r="P230" s="34">
        <v>64</v>
      </c>
      <c r="Q230" s="44"/>
      <c r="R230" s="34">
        <v>31012</v>
      </c>
      <c r="S230" s="32">
        <v>46101</v>
      </c>
      <c r="T230" s="34">
        <v>150</v>
      </c>
      <c r="U230" s="34">
        <v>22</v>
      </c>
      <c r="V230" s="34">
        <f t="shared" si="3"/>
        <v>0</v>
      </c>
    </row>
    <row r="231" spans="1:22" s="1" customFormat="1" x14ac:dyDescent="0.25">
      <c r="A231" s="33">
        <v>46101</v>
      </c>
      <c r="B231" s="9" t="s">
        <v>122</v>
      </c>
      <c r="C231" s="9" t="s">
        <v>212</v>
      </c>
      <c r="D231" s="35" t="s">
        <v>217</v>
      </c>
      <c r="E231" s="9" t="s">
        <v>218</v>
      </c>
      <c r="F231" s="35" t="s">
        <v>238</v>
      </c>
      <c r="G231" s="9" t="s">
        <v>55</v>
      </c>
      <c r="H231" s="9" t="s">
        <v>50</v>
      </c>
      <c r="I231" s="35">
        <v>10</v>
      </c>
      <c r="J231" s="9" t="s">
        <v>230</v>
      </c>
      <c r="K231" s="9">
        <v>64</v>
      </c>
      <c r="L231" s="38">
        <v>45</v>
      </c>
      <c r="M231" s="38">
        <v>2880</v>
      </c>
      <c r="N231" s="9">
        <v>48</v>
      </c>
      <c r="O231" s="9" t="s">
        <v>85</v>
      </c>
      <c r="P231" s="35">
        <v>64</v>
      </c>
      <c r="Q231" s="43"/>
      <c r="R231" s="35">
        <v>31195</v>
      </c>
      <c r="S231" s="33">
        <v>46105</v>
      </c>
      <c r="T231" s="35">
        <v>60</v>
      </c>
      <c r="U231" s="35">
        <v>12</v>
      </c>
      <c r="V231" s="35">
        <f t="shared" si="3"/>
        <v>0</v>
      </c>
    </row>
    <row r="232" spans="1:22" s="4" customFormat="1" x14ac:dyDescent="0.25">
      <c r="A232" s="32">
        <v>46101</v>
      </c>
      <c r="B232" s="7" t="s">
        <v>122</v>
      </c>
      <c r="C232" s="7" t="s">
        <v>212</v>
      </c>
      <c r="D232" s="34" t="s">
        <v>217</v>
      </c>
      <c r="E232" s="7" t="s">
        <v>218</v>
      </c>
      <c r="F232" s="34" t="s">
        <v>238</v>
      </c>
      <c r="G232" s="7" t="s">
        <v>55</v>
      </c>
      <c r="H232" s="7" t="s">
        <v>50</v>
      </c>
      <c r="I232" s="34">
        <v>9</v>
      </c>
      <c r="J232" s="7" t="s">
        <v>228</v>
      </c>
      <c r="K232" s="7">
        <v>64</v>
      </c>
      <c r="L232" s="37">
        <v>45</v>
      </c>
      <c r="M232" s="37">
        <v>2880</v>
      </c>
      <c r="N232" s="7">
        <v>48</v>
      </c>
      <c r="O232" s="7" t="s">
        <v>85</v>
      </c>
      <c r="P232" s="34">
        <v>64</v>
      </c>
      <c r="Q232" s="44"/>
      <c r="R232" s="34">
        <v>31339</v>
      </c>
      <c r="S232" s="32">
        <v>46101</v>
      </c>
      <c r="T232" s="34">
        <v>60</v>
      </c>
      <c r="U232" s="34">
        <v>12</v>
      </c>
      <c r="V232" s="34">
        <f t="shared" si="3"/>
        <v>0</v>
      </c>
    </row>
    <row r="233" spans="1:22" s="1" customFormat="1" x14ac:dyDescent="0.25">
      <c r="A233" s="33">
        <v>46101</v>
      </c>
      <c r="B233" s="9" t="s">
        <v>29</v>
      </c>
      <c r="C233" s="9" t="s">
        <v>38</v>
      </c>
      <c r="D233" s="35" t="s">
        <v>217</v>
      </c>
      <c r="E233" s="9" t="s">
        <v>218</v>
      </c>
      <c r="F233" s="35" t="s">
        <v>238</v>
      </c>
      <c r="G233" s="9" t="s">
        <v>55</v>
      </c>
      <c r="H233" s="9" t="s">
        <v>50</v>
      </c>
      <c r="I233" s="35">
        <v>8</v>
      </c>
      <c r="J233" s="9" t="s">
        <v>226</v>
      </c>
      <c r="K233" s="9">
        <v>64</v>
      </c>
      <c r="L233" s="38">
        <v>90</v>
      </c>
      <c r="M233" s="38">
        <v>5760</v>
      </c>
      <c r="N233" s="9">
        <v>96</v>
      </c>
      <c r="O233" s="9" t="s">
        <v>85</v>
      </c>
      <c r="P233" s="35">
        <v>64</v>
      </c>
      <c r="Q233" s="43"/>
      <c r="R233" s="35">
        <v>30718</v>
      </c>
      <c r="S233" s="33">
        <v>46101</v>
      </c>
      <c r="T233" s="35">
        <v>100</v>
      </c>
      <c r="U233" s="35">
        <v>4</v>
      </c>
      <c r="V233" s="35">
        <f t="shared" si="3"/>
        <v>0</v>
      </c>
    </row>
    <row r="234" spans="1:22" s="4" customFormat="1" x14ac:dyDescent="0.25">
      <c r="A234" s="32">
        <v>46101</v>
      </c>
      <c r="B234" s="7" t="s">
        <v>122</v>
      </c>
      <c r="C234" s="7" t="s">
        <v>212</v>
      </c>
      <c r="D234" s="34" t="s">
        <v>217</v>
      </c>
      <c r="E234" s="7" t="s">
        <v>218</v>
      </c>
      <c r="F234" s="34" t="s">
        <v>238</v>
      </c>
      <c r="G234" s="7" t="s">
        <v>55</v>
      </c>
      <c r="H234" s="7" t="s">
        <v>50</v>
      </c>
      <c r="I234" s="34">
        <v>12</v>
      </c>
      <c r="J234" s="7" t="s">
        <v>233</v>
      </c>
      <c r="K234" s="7">
        <v>64</v>
      </c>
      <c r="L234" s="37">
        <v>30</v>
      </c>
      <c r="M234" s="37">
        <v>1920</v>
      </c>
      <c r="N234" s="7">
        <v>32</v>
      </c>
      <c r="O234" s="7" t="s">
        <v>85</v>
      </c>
      <c r="P234" s="34">
        <v>64</v>
      </c>
      <c r="Q234" s="44"/>
      <c r="R234" s="34">
        <v>30686</v>
      </c>
      <c r="S234" s="32">
        <v>46105</v>
      </c>
      <c r="T234" s="34">
        <v>45</v>
      </c>
      <c r="U234" s="34">
        <v>13</v>
      </c>
      <c r="V234" s="34">
        <f t="shared" si="3"/>
        <v>0</v>
      </c>
    </row>
    <row r="235" spans="1:22" s="1" customFormat="1" x14ac:dyDescent="0.25">
      <c r="A235" s="33">
        <v>46105</v>
      </c>
      <c r="B235" s="9" t="s">
        <v>122</v>
      </c>
      <c r="C235" s="9" t="s">
        <v>212</v>
      </c>
      <c r="D235" s="35" t="s">
        <v>326</v>
      </c>
      <c r="E235" s="9" t="s">
        <v>272</v>
      </c>
      <c r="F235" s="35" t="s">
        <v>276</v>
      </c>
      <c r="G235" s="9" t="s">
        <v>275</v>
      </c>
      <c r="H235" s="9" t="s">
        <v>152</v>
      </c>
      <c r="I235" s="35">
        <v>1</v>
      </c>
      <c r="J235" s="9" t="s">
        <v>280</v>
      </c>
      <c r="K235" s="9">
        <v>47</v>
      </c>
      <c r="L235" s="38">
        <v>45</v>
      </c>
      <c r="M235" s="38">
        <v>2115</v>
      </c>
      <c r="N235" s="9">
        <v>35.25</v>
      </c>
      <c r="O235" s="9" t="s">
        <v>85</v>
      </c>
      <c r="P235" s="35">
        <v>47</v>
      </c>
      <c r="Q235" s="43"/>
      <c r="R235" s="35">
        <v>492.75</v>
      </c>
      <c r="S235" s="33">
        <v>46106</v>
      </c>
      <c r="T235" s="35">
        <v>40</v>
      </c>
      <c r="U235" s="35">
        <v>4.75</v>
      </c>
      <c r="V235" s="35">
        <f t="shared" si="3"/>
        <v>0</v>
      </c>
    </row>
    <row r="236" spans="1:22" s="4" customFormat="1" x14ac:dyDescent="0.25">
      <c r="A236" s="32">
        <v>46105</v>
      </c>
      <c r="B236" s="7" t="s">
        <v>30</v>
      </c>
      <c r="C236" s="7" t="s">
        <v>40</v>
      </c>
      <c r="D236" s="34" t="s">
        <v>326</v>
      </c>
      <c r="E236" s="7" t="s">
        <v>272</v>
      </c>
      <c r="F236" s="34" t="s">
        <v>276</v>
      </c>
      <c r="G236" s="7" t="s">
        <v>275</v>
      </c>
      <c r="H236" s="7" t="s">
        <v>152</v>
      </c>
      <c r="I236" s="34">
        <v>2</v>
      </c>
      <c r="J236" s="7" t="s">
        <v>282</v>
      </c>
      <c r="K236" s="7">
        <v>47</v>
      </c>
      <c r="L236" s="37">
        <v>45</v>
      </c>
      <c r="M236" s="37">
        <v>2115</v>
      </c>
      <c r="N236" s="7">
        <v>35.25</v>
      </c>
      <c r="O236" s="7" t="s">
        <v>85</v>
      </c>
      <c r="P236" s="34">
        <v>47</v>
      </c>
      <c r="Q236" s="44"/>
      <c r="R236" s="34">
        <v>457.75</v>
      </c>
      <c r="S236" s="32">
        <v>46106</v>
      </c>
      <c r="T236" s="34">
        <v>36</v>
      </c>
      <c r="U236" s="34">
        <v>0.75</v>
      </c>
      <c r="V236" s="34">
        <f t="shared" si="3"/>
        <v>0</v>
      </c>
    </row>
    <row r="237" spans="1:22" s="1" customFormat="1" x14ac:dyDescent="0.25">
      <c r="A237" s="33">
        <v>46105</v>
      </c>
      <c r="B237" s="9" t="s">
        <v>122</v>
      </c>
      <c r="C237" s="9" t="s">
        <v>212</v>
      </c>
      <c r="D237" s="35" t="s">
        <v>326</v>
      </c>
      <c r="E237" s="9" t="s">
        <v>272</v>
      </c>
      <c r="F237" s="35" t="s">
        <v>276</v>
      </c>
      <c r="G237" s="9" t="s">
        <v>275</v>
      </c>
      <c r="H237" s="9" t="s">
        <v>152</v>
      </c>
      <c r="I237" s="35">
        <v>5</v>
      </c>
      <c r="J237" s="9" t="s">
        <v>67</v>
      </c>
      <c r="K237" s="9">
        <v>47</v>
      </c>
      <c r="L237" s="38">
        <v>30</v>
      </c>
      <c r="M237" s="38">
        <v>1410</v>
      </c>
      <c r="N237" s="9">
        <v>23.5</v>
      </c>
      <c r="O237" s="9" t="s">
        <v>85</v>
      </c>
      <c r="P237" s="35">
        <v>47</v>
      </c>
      <c r="Q237" s="43"/>
      <c r="R237" s="35">
        <v>434.5</v>
      </c>
      <c r="S237" s="33">
        <v>46105</v>
      </c>
      <c r="T237" s="35">
        <v>25</v>
      </c>
      <c r="U237" s="35">
        <v>1.5</v>
      </c>
      <c r="V237" s="35">
        <f t="shared" si="3"/>
        <v>0</v>
      </c>
    </row>
    <row r="238" spans="1:22" s="4" customFormat="1" x14ac:dyDescent="0.25">
      <c r="A238" s="32">
        <v>46105</v>
      </c>
      <c r="B238" s="7" t="s">
        <v>122</v>
      </c>
      <c r="C238" s="7" t="s">
        <v>212</v>
      </c>
      <c r="D238" s="34" t="s">
        <v>326</v>
      </c>
      <c r="E238" s="7" t="s">
        <v>272</v>
      </c>
      <c r="F238" s="34" t="s">
        <v>277</v>
      </c>
      <c r="G238" s="7" t="s">
        <v>275</v>
      </c>
      <c r="H238" s="7" t="s">
        <v>51</v>
      </c>
      <c r="I238" s="34">
        <v>5</v>
      </c>
      <c r="J238" s="7" t="s">
        <v>67</v>
      </c>
      <c r="K238" s="7">
        <v>101</v>
      </c>
      <c r="L238" s="37">
        <v>30</v>
      </c>
      <c r="M238" s="37">
        <v>3030</v>
      </c>
      <c r="N238" s="7">
        <v>50.5</v>
      </c>
      <c r="O238" s="7" t="s">
        <v>85</v>
      </c>
      <c r="P238" s="34">
        <v>101</v>
      </c>
      <c r="Q238" s="44"/>
      <c r="R238" s="34">
        <v>384.5</v>
      </c>
      <c r="S238" s="32">
        <v>46105</v>
      </c>
      <c r="T238" s="34">
        <v>65</v>
      </c>
      <c r="U238" s="34">
        <v>14.5</v>
      </c>
      <c r="V238" s="34">
        <f t="shared" si="3"/>
        <v>0</v>
      </c>
    </row>
    <row r="239" spans="1:22" s="1" customFormat="1" x14ac:dyDescent="0.25">
      <c r="A239" s="33">
        <v>46105</v>
      </c>
      <c r="B239" s="9" t="s">
        <v>122</v>
      </c>
      <c r="C239" s="9" t="s">
        <v>212</v>
      </c>
      <c r="D239" s="35" t="s">
        <v>326</v>
      </c>
      <c r="E239" s="9" t="s">
        <v>272</v>
      </c>
      <c r="F239" s="35" t="s">
        <v>278</v>
      </c>
      <c r="G239" s="9" t="s">
        <v>275</v>
      </c>
      <c r="H239" s="9" t="s">
        <v>48</v>
      </c>
      <c r="I239" s="35">
        <v>5</v>
      </c>
      <c r="J239" s="9" t="s">
        <v>67</v>
      </c>
      <c r="K239" s="9">
        <v>94</v>
      </c>
      <c r="L239" s="38">
        <v>30</v>
      </c>
      <c r="M239" s="38">
        <v>2820</v>
      </c>
      <c r="N239" s="9">
        <v>47</v>
      </c>
      <c r="O239" s="9" t="s">
        <v>85</v>
      </c>
      <c r="P239" s="35">
        <v>94</v>
      </c>
      <c r="Q239" s="43"/>
      <c r="R239" s="35">
        <v>338</v>
      </c>
      <c r="S239" s="33">
        <v>46105</v>
      </c>
      <c r="T239" s="35">
        <v>55</v>
      </c>
      <c r="U239" s="35">
        <v>8</v>
      </c>
      <c r="V239" s="35">
        <f t="shared" si="3"/>
        <v>0</v>
      </c>
    </row>
    <row r="240" spans="1:22" s="4" customFormat="1" x14ac:dyDescent="0.25">
      <c r="A240" s="32">
        <v>46105</v>
      </c>
      <c r="B240" s="7" t="s">
        <v>30</v>
      </c>
      <c r="C240" s="7" t="s">
        <v>40</v>
      </c>
      <c r="D240" s="34" t="s">
        <v>326</v>
      </c>
      <c r="E240" s="7" t="s">
        <v>272</v>
      </c>
      <c r="F240" s="34" t="s">
        <v>279</v>
      </c>
      <c r="G240" s="7" t="s">
        <v>275</v>
      </c>
      <c r="H240" s="7" t="s">
        <v>49</v>
      </c>
      <c r="I240" s="34">
        <v>1</v>
      </c>
      <c r="J240" s="7" t="s">
        <v>280</v>
      </c>
      <c r="K240" s="7">
        <v>47</v>
      </c>
      <c r="L240" s="37">
        <v>45</v>
      </c>
      <c r="M240" s="37">
        <v>2115</v>
      </c>
      <c r="N240" s="7">
        <v>35.25</v>
      </c>
      <c r="O240" s="7" t="s">
        <v>85</v>
      </c>
      <c r="P240" s="34">
        <v>47</v>
      </c>
      <c r="Q240" s="44"/>
      <c r="R240" s="34">
        <v>302.75</v>
      </c>
      <c r="S240" s="32">
        <v>46107</v>
      </c>
      <c r="T240" s="34">
        <v>38</v>
      </c>
      <c r="U240" s="34">
        <v>2.75</v>
      </c>
      <c r="V240" s="34">
        <f t="shared" si="3"/>
        <v>0</v>
      </c>
    </row>
    <row r="241" spans="1:22" s="1" customFormat="1" x14ac:dyDescent="0.25">
      <c r="A241" s="33">
        <v>46105</v>
      </c>
      <c r="B241" s="9" t="s">
        <v>122</v>
      </c>
      <c r="C241" s="9" t="s">
        <v>212</v>
      </c>
      <c r="D241" s="35" t="s">
        <v>326</v>
      </c>
      <c r="E241" s="9" t="s">
        <v>272</v>
      </c>
      <c r="F241" s="35" t="s">
        <v>279</v>
      </c>
      <c r="G241" s="9" t="s">
        <v>275</v>
      </c>
      <c r="H241" s="9" t="s">
        <v>49</v>
      </c>
      <c r="I241" s="35">
        <v>5</v>
      </c>
      <c r="J241" s="9" t="s">
        <v>67</v>
      </c>
      <c r="K241" s="9">
        <v>47</v>
      </c>
      <c r="L241" s="38">
        <v>30</v>
      </c>
      <c r="M241" s="38">
        <v>1410</v>
      </c>
      <c r="N241" s="9">
        <v>23.5</v>
      </c>
      <c r="O241" s="9" t="s">
        <v>85</v>
      </c>
      <c r="P241" s="35">
        <v>47</v>
      </c>
      <c r="Q241" s="43"/>
      <c r="R241" s="35">
        <v>279.5</v>
      </c>
      <c r="S241" s="33">
        <v>46105</v>
      </c>
      <c r="T241" s="35">
        <v>28</v>
      </c>
      <c r="U241" s="35">
        <v>4.5</v>
      </c>
      <c r="V241" s="35">
        <f t="shared" si="3"/>
        <v>0</v>
      </c>
    </row>
    <row r="242" spans="1:22" s="4" customFormat="1" x14ac:dyDescent="0.25">
      <c r="A242" s="32">
        <v>46105</v>
      </c>
      <c r="B242" s="7" t="s">
        <v>29</v>
      </c>
      <c r="C242" s="7" t="s">
        <v>38</v>
      </c>
      <c r="D242" s="34" t="s">
        <v>404</v>
      </c>
      <c r="E242" s="7" t="s">
        <v>261</v>
      </c>
      <c r="F242" s="34" t="s">
        <v>263</v>
      </c>
      <c r="G242" s="7" t="s">
        <v>264</v>
      </c>
      <c r="H242" s="7" t="s">
        <v>51</v>
      </c>
      <c r="I242" s="34">
        <v>1</v>
      </c>
      <c r="J242" s="7" t="s">
        <v>57</v>
      </c>
      <c r="K242" s="7">
        <v>47</v>
      </c>
      <c r="L242" s="37">
        <v>45</v>
      </c>
      <c r="M242" s="37">
        <v>2115</v>
      </c>
      <c r="N242" s="7">
        <v>35.25</v>
      </c>
      <c r="O242" s="7" t="s">
        <v>85</v>
      </c>
      <c r="P242" s="34">
        <v>47</v>
      </c>
      <c r="Q242" s="44"/>
      <c r="R242" s="34">
        <v>492.75</v>
      </c>
      <c r="S242" s="32">
        <v>46105</v>
      </c>
      <c r="T242" s="34">
        <v>40</v>
      </c>
      <c r="U242" s="34">
        <v>4.75</v>
      </c>
      <c r="V242" s="34">
        <f t="shared" si="3"/>
        <v>0</v>
      </c>
    </row>
    <row r="243" spans="1:22" s="1" customFormat="1" x14ac:dyDescent="0.25">
      <c r="A243" s="33">
        <v>46105</v>
      </c>
      <c r="B243" s="9" t="s">
        <v>29</v>
      </c>
      <c r="C243" s="9" t="s">
        <v>38</v>
      </c>
      <c r="D243" s="35" t="s">
        <v>404</v>
      </c>
      <c r="E243" s="9" t="s">
        <v>261</v>
      </c>
      <c r="F243" s="35" t="s">
        <v>263</v>
      </c>
      <c r="G243" s="9" t="s">
        <v>264</v>
      </c>
      <c r="H243" s="9" t="s">
        <v>51</v>
      </c>
      <c r="I243" s="35">
        <v>2</v>
      </c>
      <c r="J243" s="9" t="s">
        <v>60</v>
      </c>
      <c r="K243" s="9">
        <v>47</v>
      </c>
      <c r="L243" s="38">
        <v>65</v>
      </c>
      <c r="M243" s="38">
        <v>3055</v>
      </c>
      <c r="N243" s="9">
        <v>50.916666666666664</v>
      </c>
      <c r="O243" s="9" t="s">
        <v>85</v>
      </c>
      <c r="P243" s="35">
        <v>47</v>
      </c>
      <c r="Q243" s="43"/>
      <c r="R243" s="35">
        <v>442.08333333333331</v>
      </c>
      <c r="S243" s="33">
        <v>46105</v>
      </c>
      <c r="T243" s="35">
        <v>53</v>
      </c>
      <c r="U243" s="35">
        <v>2.0833333333333357</v>
      </c>
      <c r="V243" s="35">
        <f t="shared" si="3"/>
        <v>0</v>
      </c>
    </row>
    <row r="244" spans="1:22" s="4" customFormat="1" x14ac:dyDescent="0.25">
      <c r="A244" s="32">
        <v>46105</v>
      </c>
      <c r="B244" s="7" t="s">
        <v>27</v>
      </c>
      <c r="C244" s="7" t="s">
        <v>36</v>
      </c>
      <c r="D244" s="34" t="s">
        <v>404</v>
      </c>
      <c r="E244" s="7" t="s">
        <v>261</v>
      </c>
      <c r="F244" s="34" t="s">
        <v>263</v>
      </c>
      <c r="G244" s="7" t="s">
        <v>264</v>
      </c>
      <c r="H244" s="7" t="s">
        <v>51</v>
      </c>
      <c r="I244" s="34">
        <v>3</v>
      </c>
      <c r="J244" s="7" t="s">
        <v>132</v>
      </c>
      <c r="K244" s="7">
        <v>47</v>
      </c>
      <c r="L244" s="37">
        <v>45</v>
      </c>
      <c r="M244" s="37">
        <v>2115</v>
      </c>
      <c r="N244" s="7">
        <v>35.25</v>
      </c>
      <c r="O244" s="7" t="s">
        <v>85</v>
      </c>
      <c r="P244" s="34">
        <v>47</v>
      </c>
      <c r="Q244" s="44"/>
      <c r="R244" s="34">
        <v>492.75</v>
      </c>
      <c r="S244" s="32">
        <v>46105</v>
      </c>
      <c r="T244" s="34">
        <v>40</v>
      </c>
      <c r="U244" s="34">
        <v>4.75</v>
      </c>
      <c r="V244" s="34">
        <f t="shared" si="3"/>
        <v>0</v>
      </c>
    </row>
    <row r="245" spans="1:22" s="1" customFormat="1" x14ac:dyDescent="0.25">
      <c r="A245" s="33">
        <v>46105</v>
      </c>
      <c r="B245" s="9" t="s">
        <v>30</v>
      </c>
      <c r="C245" s="9" t="s">
        <v>40</v>
      </c>
      <c r="D245" s="35" t="s">
        <v>404</v>
      </c>
      <c r="E245" s="9" t="s">
        <v>261</v>
      </c>
      <c r="F245" s="35" t="s">
        <v>263</v>
      </c>
      <c r="G245" s="9" t="s">
        <v>264</v>
      </c>
      <c r="H245" s="9" t="s">
        <v>51</v>
      </c>
      <c r="I245" s="35">
        <v>6</v>
      </c>
      <c r="J245" s="9" t="s">
        <v>257</v>
      </c>
      <c r="K245" s="9">
        <v>47</v>
      </c>
      <c r="L245" s="38">
        <v>90</v>
      </c>
      <c r="M245" s="38">
        <v>4230</v>
      </c>
      <c r="N245" s="9">
        <v>70.5</v>
      </c>
      <c r="O245" s="9" t="s">
        <v>85</v>
      </c>
      <c r="P245" s="35">
        <v>47</v>
      </c>
      <c r="Q245" s="43"/>
      <c r="R245" s="35">
        <v>457.5</v>
      </c>
      <c r="S245" s="33">
        <v>46105</v>
      </c>
      <c r="T245" s="35">
        <v>100</v>
      </c>
      <c r="U245" s="35">
        <v>29.5</v>
      </c>
      <c r="V245" s="35">
        <f t="shared" si="3"/>
        <v>0</v>
      </c>
    </row>
    <row r="246" spans="1:22" s="4" customFormat="1" x14ac:dyDescent="0.25">
      <c r="A246" s="32">
        <v>46105</v>
      </c>
      <c r="B246" s="7" t="s">
        <v>27</v>
      </c>
      <c r="C246" s="7" t="s">
        <v>36</v>
      </c>
      <c r="D246" s="34" t="s">
        <v>404</v>
      </c>
      <c r="E246" s="7" t="s">
        <v>261</v>
      </c>
      <c r="F246" s="34" t="s">
        <v>263</v>
      </c>
      <c r="G246" s="7" t="s">
        <v>264</v>
      </c>
      <c r="H246" s="7" t="s">
        <v>51</v>
      </c>
      <c r="I246" s="34">
        <v>4</v>
      </c>
      <c r="J246" s="7" t="s">
        <v>67</v>
      </c>
      <c r="K246" s="7">
        <v>47</v>
      </c>
      <c r="L246" s="37">
        <v>40</v>
      </c>
      <c r="M246" s="37">
        <v>1880</v>
      </c>
      <c r="N246" s="7">
        <v>31.333333333333332</v>
      </c>
      <c r="O246" s="7" t="s">
        <v>85</v>
      </c>
      <c r="P246" s="34">
        <v>47</v>
      </c>
      <c r="Q246" s="44"/>
      <c r="R246" s="34">
        <v>461.66666666666669</v>
      </c>
      <c r="S246" s="32">
        <v>46105</v>
      </c>
      <c r="T246" s="34">
        <v>32</v>
      </c>
      <c r="U246" s="34">
        <v>0.66666666666666785</v>
      </c>
      <c r="V246" s="34">
        <f t="shared" si="3"/>
        <v>0</v>
      </c>
    </row>
    <row r="247" spans="1:22" s="1" customFormat="1" x14ac:dyDescent="0.25">
      <c r="A247" s="33">
        <v>46105</v>
      </c>
      <c r="B247" s="9" t="s">
        <v>27</v>
      </c>
      <c r="C247" s="9" t="s">
        <v>36</v>
      </c>
      <c r="D247" s="35" t="s">
        <v>404</v>
      </c>
      <c r="E247" s="9" t="s">
        <v>261</v>
      </c>
      <c r="F247" s="35" t="s">
        <v>263</v>
      </c>
      <c r="G247" s="9" t="s">
        <v>264</v>
      </c>
      <c r="H247" s="9" t="s">
        <v>51</v>
      </c>
      <c r="I247" s="35">
        <v>5</v>
      </c>
      <c r="J247" s="9" t="s">
        <v>266</v>
      </c>
      <c r="K247" s="9">
        <v>47</v>
      </c>
      <c r="L247" s="38">
        <v>150</v>
      </c>
      <c r="M247" s="38">
        <v>7050</v>
      </c>
      <c r="N247" s="9">
        <v>117.5</v>
      </c>
      <c r="O247" s="9" t="s">
        <v>85</v>
      </c>
      <c r="P247" s="35">
        <v>47</v>
      </c>
      <c r="Q247" s="43"/>
      <c r="R247" s="35">
        <v>344.5</v>
      </c>
      <c r="S247" s="33">
        <v>46106</v>
      </c>
      <c r="T247" s="35">
        <v>120</v>
      </c>
      <c r="U247" s="35">
        <v>2.5</v>
      </c>
      <c r="V247" s="35">
        <f t="shared" si="3"/>
        <v>0</v>
      </c>
    </row>
    <row r="248" spans="1:22" s="4" customFormat="1" x14ac:dyDescent="0.25">
      <c r="A248" s="32">
        <v>46106</v>
      </c>
      <c r="B248" s="7" t="s">
        <v>27</v>
      </c>
      <c r="C248" s="7" t="s">
        <v>36</v>
      </c>
      <c r="D248" s="34" t="s">
        <v>404</v>
      </c>
      <c r="E248" s="7" t="s">
        <v>261</v>
      </c>
      <c r="F248" s="34" t="s">
        <v>263</v>
      </c>
      <c r="G248" s="7" t="s">
        <v>264</v>
      </c>
      <c r="H248" s="7" t="s">
        <v>51</v>
      </c>
      <c r="I248" s="34">
        <v>7</v>
      </c>
      <c r="J248" s="7" t="s">
        <v>267</v>
      </c>
      <c r="K248" s="7">
        <v>47</v>
      </c>
      <c r="L248" s="37">
        <v>120</v>
      </c>
      <c r="M248" s="37">
        <v>5640</v>
      </c>
      <c r="N248" s="7">
        <v>94</v>
      </c>
      <c r="O248" s="7" t="s">
        <v>85</v>
      </c>
      <c r="P248" s="34">
        <v>47</v>
      </c>
      <c r="Q248" s="44"/>
      <c r="R248" s="34">
        <v>434</v>
      </c>
      <c r="S248" s="32">
        <v>46106</v>
      </c>
      <c r="T248" s="34">
        <v>100</v>
      </c>
      <c r="U248" s="34">
        <v>6</v>
      </c>
      <c r="V248" s="34">
        <f t="shared" si="3"/>
        <v>0</v>
      </c>
    </row>
    <row r="249" spans="1:22" s="1" customFormat="1" x14ac:dyDescent="0.25">
      <c r="A249" s="33">
        <v>46106</v>
      </c>
      <c r="B249" s="9" t="s">
        <v>29</v>
      </c>
      <c r="C249" s="9" t="s">
        <v>38</v>
      </c>
      <c r="D249" s="35" t="s">
        <v>404</v>
      </c>
      <c r="E249" s="9" t="s">
        <v>261</v>
      </c>
      <c r="F249" s="35" t="s">
        <v>263</v>
      </c>
      <c r="G249" s="9" t="s">
        <v>264</v>
      </c>
      <c r="H249" s="9" t="s">
        <v>51</v>
      </c>
      <c r="I249" s="35">
        <v>8</v>
      </c>
      <c r="J249" s="9" t="s">
        <v>268</v>
      </c>
      <c r="K249" s="9">
        <v>47</v>
      </c>
      <c r="L249" s="38">
        <v>45</v>
      </c>
      <c r="M249" s="38">
        <v>2115</v>
      </c>
      <c r="N249" s="9">
        <v>35.25</v>
      </c>
      <c r="O249" s="9" t="s">
        <v>85</v>
      </c>
      <c r="P249" s="35">
        <v>47</v>
      </c>
      <c r="Q249" s="43"/>
      <c r="R249" s="35">
        <v>492.75</v>
      </c>
      <c r="S249" s="33">
        <v>46106</v>
      </c>
      <c r="T249" s="35">
        <v>40</v>
      </c>
      <c r="U249" s="35">
        <v>4.75</v>
      </c>
      <c r="V249" s="35">
        <f t="shared" si="3"/>
        <v>0</v>
      </c>
    </row>
    <row r="250" spans="1:22" s="4" customFormat="1" x14ac:dyDescent="0.25">
      <c r="A250" s="32">
        <v>46106</v>
      </c>
      <c r="B250" s="7" t="s">
        <v>29</v>
      </c>
      <c r="C250" s="7" t="s">
        <v>38</v>
      </c>
      <c r="D250" s="34" t="s">
        <v>404</v>
      </c>
      <c r="E250" s="7" t="s">
        <v>261</v>
      </c>
      <c r="F250" s="34" t="s">
        <v>263</v>
      </c>
      <c r="G250" s="7" t="s">
        <v>264</v>
      </c>
      <c r="H250" s="7" t="s">
        <v>51</v>
      </c>
      <c r="I250" s="34">
        <v>9</v>
      </c>
      <c r="J250" s="7" t="s">
        <v>270</v>
      </c>
      <c r="K250" s="7">
        <v>47</v>
      </c>
      <c r="L250" s="37">
        <v>35</v>
      </c>
      <c r="M250" s="37">
        <v>1645</v>
      </c>
      <c r="N250" s="7">
        <v>27.416666666666668</v>
      </c>
      <c r="O250" s="7" t="s">
        <v>85</v>
      </c>
      <c r="P250" s="34">
        <v>47</v>
      </c>
      <c r="Q250" s="44"/>
      <c r="R250" s="34">
        <v>465.58333333333331</v>
      </c>
      <c r="S250" s="32">
        <v>46106</v>
      </c>
      <c r="T250" s="34">
        <v>30</v>
      </c>
      <c r="U250" s="34">
        <v>2.5833333333333321</v>
      </c>
      <c r="V250" s="34">
        <f t="shared" si="3"/>
        <v>0</v>
      </c>
    </row>
    <row r="251" spans="1:22" s="1" customFormat="1" x14ac:dyDescent="0.25">
      <c r="A251" s="33">
        <v>46106</v>
      </c>
      <c r="B251" s="9" t="s">
        <v>29</v>
      </c>
      <c r="C251" s="9" t="s">
        <v>38</v>
      </c>
      <c r="D251" s="35" t="s">
        <v>404</v>
      </c>
      <c r="E251" s="9" t="s">
        <v>261</v>
      </c>
      <c r="F251" s="35" t="s">
        <v>263</v>
      </c>
      <c r="G251" s="9" t="s">
        <v>264</v>
      </c>
      <c r="H251" s="9" t="s">
        <v>51</v>
      </c>
      <c r="I251" s="35">
        <v>10</v>
      </c>
      <c r="J251" s="9" t="s">
        <v>271</v>
      </c>
      <c r="K251" s="9">
        <v>47</v>
      </c>
      <c r="L251" s="38">
        <v>180</v>
      </c>
      <c r="M251" s="38">
        <v>8460</v>
      </c>
      <c r="N251" s="9">
        <v>141</v>
      </c>
      <c r="O251" s="9" t="s">
        <v>85</v>
      </c>
      <c r="P251" s="35">
        <v>47</v>
      </c>
      <c r="Q251" s="43"/>
      <c r="R251" s="35">
        <v>325</v>
      </c>
      <c r="S251" s="33">
        <v>46106</v>
      </c>
      <c r="T251" s="35">
        <v>150</v>
      </c>
      <c r="U251" s="35">
        <v>9</v>
      </c>
      <c r="V251" s="35">
        <f t="shared" si="3"/>
        <v>0</v>
      </c>
    </row>
    <row r="252" spans="1:22" s="4" customFormat="1" x14ac:dyDescent="0.25">
      <c r="A252" s="32">
        <v>46106</v>
      </c>
      <c r="B252" s="7" t="s">
        <v>30</v>
      </c>
      <c r="C252" s="7" t="s">
        <v>40</v>
      </c>
      <c r="D252" s="34" t="s">
        <v>326</v>
      </c>
      <c r="E252" s="7" t="s">
        <v>272</v>
      </c>
      <c r="F252" s="34" t="s">
        <v>277</v>
      </c>
      <c r="G252" s="7" t="s">
        <v>275</v>
      </c>
      <c r="H252" s="7" t="s">
        <v>51</v>
      </c>
      <c r="I252" s="34">
        <v>1</v>
      </c>
      <c r="J252" s="7" t="s">
        <v>280</v>
      </c>
      <c r="K252" s="7">
        <v>101</v>
      </c>
      <c r="L252" s="37">
        <v>45</v>
      </c>
      <c r="M252" s="37">
        <v>4545</v>
      </c>
      <c r="N252" s="7">
        <v>75.75</v>
      </c>
      <c r="O252" s="7" t="s">
        <v>85</v>
      </c>
      <c r="P252" s="34">
        <v>0</v>
      </c>
      <c r="Q252" s="44"/>
      <c r="R252" s="34">
        <v>452.25</v>
      </c>
      <c r="S252" s="32">
        <v>46106</v>
      </c>
      <c r="T252" s="34">
        <v>80</v>
      </c>
      <c r="U252" s="34">
        <v>4.25</v>
      </c>
      <c r="V252" s="34">
        <f t="shared" si="3"/>
        <v>101</v>
      </c>
    </row>
    <row r="253" spans="1:22" s="1" customFormat="1" x14ac:dyDescent="0.25">
      <c r="A253" s="33">
        <v>46106</v>
      </c>
      <c r="B253" s="9" t="s">
        <v>30</v>
      </c>
      <c r="C253" s="9" t="s">
        <v>40</v>
      </c>
      <c r="D253" s="35" t="s">
        <v>326</v>
      </c>
      <c r="E253" s="9" t="s">
        <v>272</v>
      </c>
      <c r="F253" s="35" t="s">
        <v>278</v>
      </c>
      <c r="G253" s="9" t="s">
        <v>275</v>
      </c>
      <c r="H253" s="9" t="s">
        <v>48</v>
      </c>
      <c r="I253" s="35">
        <v>1</v>
      </c>
      <c r="J253" s="9" t="s">
        <v>280</v>
      </c>
      <c r="K253" s="9">
        <v>94</v>
      </c>
      <c r="L253" s="38">
        <v>45</v>
      </c>
      <c r="M253" s="38">
        <v>4230</v>
      </c>
      <c r="N253" s="9">
        <v>70.5</v>
      </c>
      <c r="O253" s="9" t="s">
        <v>85</v>
      </c>
      <c r="P253" s="35">
        <v>94</v>
      </c>
      <c r="Q253" s="43"/>
      <c r="R253" s="35">
        <v>382.5</v>
      </c>
      <c r="S253" s="33">
        <v>46106</v>
      </c>
      <c r="T253" s="35">
        <v>80</v>
      </c>
      <c r="U253" s="35">
        <v>9.5</v>
      </c>
      <c r="V253" s="35">
        <f t="shared" si="3"/>
        <v>0</v>
      </c>
    </row>
    <row r="254" spans="1:22" s="4" customFormat="1" x14ac:dyDescent="0.25">
      <c r="A254" s="32">
        <v>46106</v>
      </c>
      <c r="B254" s="7" t="s">
        <v>30</v>
      </c>
      <c r="C254" s="7" t="s">
        <v>40</v>
      </c>
      <c r="D254" s="34" t="s">
        <v>326</v>
      </c>
      <c r="E254" s="7" t="s">
        <v>272</v>
      </c>
      <c r="F254" s="34" t="s">
        <v>277</v>
      </c>
      <c r="G254" s="7" t="s">
        <v>275</v>
      </c>
      <c r="H254" s="7" t="s">
        <v>51</v>
      </c>
      <c r="I254" s="34">
        <v>2</v>
      </c>
      <c r="J254" s="7" t="s">
        <v>282</v>
      </c>
      <c r="K254" s="7">
        <v>101</v>
      </c>
      <c r="L254" s="37">
        <v>45</v>
      </c>
      <c r="M254" s="37">
        <v>4545</v>
      </c>
      <c r="N254" s="7">
        <v>75.75</v>
      </c>
      <c r="O254" s="7" t="s">
        <v>85</v>
      </c>
      <c r="P254" s="34">
        <v>101</v>
      </c>
      <c r="Q254" s="44"/>
      <c r="R254" s="34">
        <v>307.25</v>
      </c>
      <c r="S254" s="32">
        <v>46106</v>
      </c>
      <c r="T254" s="34">
        <v>80</v>
      </c>
      <c r="U254" s="34">
        <v>4.25</v>
      </c>
      <c r="V254" s="34">
        <f t="shared" si="3"/>
        <v>0</v>
      </c>
    </row>
    <row r="255" spans="1:22" s="1" customFormat="1" x14ac:dyDescent="0.25">
      <c r="A255" s="33">
        <v>46106</v>
      </c>
      <c r="B255" s="9" t="s">
        <v>30</v>
      </c>
      <c r="C255" s="9" t="s">
        <v>40</v>
      </c>
      <c r="D255" s="35" t="s">
        <v>326</v>
      </c>
      <c r="E255" s="9" t="s">
        <v>272</v>
      </c>
      <c r="F255" s="35" t="s">
        <v>278</v>
      </c>
      <c r="G255" s="9" t="s">
        <v>275</v>
      </c>
      <c r="H255" s="9" t="s">
        <v>48</v>
      </c>
      <c r="I255" s="35">
        <v>2</v>
      </c>
      <c r="J255" s="9" t="s">
        <v>282</v>
      </c>
      <c r="K255" s="9">
        <v>94</v>
      </c>
      <c r="L255" s="38">
        <v>45</v>
      </c>
      <c r="M255" s="38">
        <v>4230</v>
      </c>
      <c r="N255" s="9">
        <v>70.5</v>
      </c>
      <c r="O255" s="9" t="s">
        <v>85</v>
      </c>
      <c r="P255" s="35">
        <v>94</v>
      </c>
      <c r="Q255" s="43"/>
      <c r="R255" s="35">
        <v>237.5</v>
      </c>
      <c r="S255" s="33">
        <v>46106</v>
      </c>
      <c r="T255" s="35">
        <v>0</v>
      </c>
      <c r="U255" s="35">
        <v>-70.5</v>
      </c>
      <c r="V255" s="35">
        <f t="shared" si="3"/>
        <v>0</v>
      </c>
    </row>
    <row r="256" spans="1:22" s="4" customFormat="1" x14ac:dyDescent="0.25">
      <c r="A256" s="32">
        <v>46106</v>
      </c>
      <c r="B256" s="7" t="s">
        <v>27</v>
      </c>
      <c r="C256" s="7" t="s">
        <v>36</v>
      </c>
      <c r="D256" s="34" t="s">
        <v>326</v>
      </c>
      <c r="E256" s="7" t="s">
        <v>272</v>
      </c>
      <c r="F256" s="34" t="s">
        <v>276</v>
      </c>
      <c r="G256" s="7" t="s">
        <v>275</v>
      </c>
      <c r="H256" s="7" t="s">
        <v>152</v>
      </c>
      <c r="I256" s="34">
        <v>4</v>
      </c>
      <c r="J256" s="7" t="s">
        <v>286</v>
      </c>
      <c r="K256" s="7">
        <v>47</v>
      </c>
      <c r="L256" s="37">
        <v>45</v>
      </c>
      <c r="M256" s="37">
        <v>2115</v>
      </c>
      <c r="N256" s="7">
        <v>35.25</v>
      </c>
      <c r="O256" s="7" t="s">
        <v>85</v>
      </c>
      <c r="P256" s="34">
        <v>47</v>
      </c>
      <c r="Q256" s="44"/>
      <c r="R256" s="34">
        <v>398.75</v>
      </c>
      <c r="S256" s="32">
        <v>46106</v>
      </c>
      <c r="T256" s="34">
        <v>40</v>
      </c>
      <c r="U256" s="34">
        <v>4.75</v>
      </c>
      <c r="V256" s="34">
        <f t="shared" si="3"/>
        <v>0</v>
      </c>
    </row>
    <row r="257" spans="1:22" s="1" customFormat="1" x14ac:dyDescent="0.25">
      <c r="A257" s="33">
        <v>46106</v>
      </c>
      <c r="B257" s="9" t="s">
        <v>27</v>
      </c>
      <c r="C257" s="9" t="s">
        <v>36</v>
      </c>
      <c r="D257" s="35" t="s">
        <v>326</v>
      </c>
      <c r="E257" s="9" t="s">
        <v>272</v>
      </c>
      <c r="F257" s="35" t="s">
        <v>277</v>
      </c>
      <c r="G257" s="9" t="s">
        <v>275</v>
      </c>
      <c r="H257" s="9" t="s">
        <v>51</v>
      </c>
      <c r="I257" s="35">
        <v>3</v>
      </c>
      <c r="J257" s="9" t="s">
        <v>284</v>
      </c>
      <c r="K257" s="9">
        <v>101</v>
      </c>
      <c r="L257" s="38">
        <v>30</v>
      </c>
      <c r="M257" s="38">
        <v>3030</v>
      </c>
      <c r="N257" s="9">
        <v>50.5</v>
      </c>
      <c r="O257" s="9" t="s">
        <v>85</v>
      </c>
      <c r="P257" s="35">
        <v>101</v>
      </c>
      <c r="Q257" s="43"/>
      <c r="R257" s="35">
        <v>323.25</v>
      </c>
      <c r="S257" s="33">
        <v>46107</v>
      </c>
      <c r="T257" s="35">
        <v>80</v>
      </c>
      <c r="U257" s="35">
        <v>29.5</v>
      </c>
      <c r="V257" s="35">
        <f t="shared" si="3"/>
        <v>0</v>
      </c>
    </row>
    <row r="258" spans="1:22" s="4" customFormat="1" x14ac:dyDescent="0.25">
      <c r="A258" s="32">
        <v>46106</v>
      </c>
      <c r="B258" s="7" t="s">
        <v>29</v>
      </c>
      <c r="C258" s="7" t="s">
        <v>38</v>
      </c>
      <c r="D258" s="34" t="s">
        <v>326</v>
      </c>
      <c r="E258" s="7" t="s">
        <v>272</v>
      </c>
      <c r="F258" s="34" t="s">
        <v>276</v>
      </c>
      <c r="G258" s="7" t="s">
        <v>275</v>
      </c>
      <c r="H258" s="7" t="s">
        <v>152</v>
      </c>
      <c r="I258" s="34">
        <v>7</v>
      </c>
      <c r="J258" s="7" t="s">
        <v>290</v>
      </c>
      <c r="K258" s="7">
        <v>47</v>
      </c>
      <c r="L258" s="37">
        <v>120</v>
      </c>
      <c r="M258" s="37">
        <v>5640</v>
      </c>
      <c r="N258" s="7">
        <v>94</v>
      </c>
      <c r="O258" s="7" t="s">
        <v>85</v>
      </c>
      <c r="P258" s="34">
        <v>47</v>
      </c>
      <c r="Q258" s="44"/>
      <c r="R258" s="34">
        <v>231</v>
      </c>
      <c r="S258" s="32">
        <v>46107</v>
      </c>
      <c r="T258" s="34">
        <v>94</v>
      </c>
      <c r="U258" s="34">
        <v>0</v>
      </c>
      <c r="V258" s="34">
        <f t="shared" si="3"/>
        <v>0</v>
      </c>
    </row>
    <row r="259" spans="1:22" s="1" customFormat="1" x14ac:dyDescent="0.25">
      <c r="A259" s="33">
        <v>46106</v>
      </c>
      <c r="B259" s="9" t="s">
        <v>30</v>
      </c>
      <c r="C259" s="9" t="s">
        <v>40</v>
      </c>
      <c r="D259" s="35" t="s">
        <v>326</v>
      </c>
      <c r="E259" s="9" t="s">
        <v>272</v>
      </c>
      <c r="F259" s="35" t="s">
        <v>279</v>
      </c>
      <c r="G259" s="9" t="s">
        <v>275</v>
      </c>
      <c r="H259" s="9" t="s">
        <v>49</v>
      </c>
      <c r="I259" s="35">
        <v>2</v>
      </c>
      <c r="J259" s="9" t="s">
        <v>282</v>
      </c>
      <c r="K259" s="9">
        <v>47</v>
      </c>
      <c r="L259" s="38">
        <v>45</v>
      </c>
      <c r="M259" s="38">
        <v>2115</v>
      </c>
      <c r="N259" s="9">
        <v>35.25</v>
      </c>
      <c r="O259" s="9" t="s">
        <v>85</v>
      </c>
      <c r="P259" s="35">
        <v>47</v>
      </c>
      <c r="Q259" s="43"/>
      <c r="R259" s="35">
        <v>202.75</v>
      </c>
      <c r="S259" s="33">
        <v>46107</v>
      </c>
      <c r="T259" s="35">
        <v>38</v>
      </c>
      <c r="U259" s="35">
        <v>2.75</v>
      </c>
      <c r="V259" s="35">
        <f t="shared" si="3"/>
        <v>0</v>
      </c>
    </row>
    <row r="260" spans="1:22" s="4" customFormat="1" x14ac:dyDescent="0.25">
      <c r="A260" s="32">
        <v>46106</v>
      </c>
      <c r="B260" s="7" t="s">
        <v>27</v>
      </c>
      <c r="C260" s="7" t="s">
        <v>36</v>
      </c>
      <c r="D260" s="34" t="s">
        <v>326</v>
      </c>
      <c r="E260" s="7" t="s">
        <v>272</v>
      </c>
      <c r="F260" s="34" t="s">
        <v>276</v>
      </c>
      <c r="G260" s="7" t="s">
        <v>275</v>
      </c>
      <c r="H260" s="7" t="s">
        <v>152</v>
      </c>
      <c r="I260" s="34">
        <v>3</v>
      </c>
      <c r="J260" s="7" t="s">
        <v>284</v>
      </c>
      <c r="K260" s="7">
        <v>47</v>
      </c>
      <c r="L260" s="37">
        <v>45</v>
      </c>
      <c r="M260" s="37">
        <v>2115</v>
      </c>
      <c r="N260" s="7">
        <v>35.25</v>
      </c>
      <c r="O260" s="7" t="s">
        <v>85</v>
      </c>
      <c r="P260" s="34">
        <v>47</v>
      </c>
      <c r="Q260" s="44"/>
      <c r="R260" s="34">
        <v>288.75</v>
      </c>
      <c r="S260" s="32">
        <v>46106</v>
      </c>
      <c r="T260" s="34">
        <v>40</v>
      </c>
      <c r="U260" s="34">
        <v>4.75</v>
      </c>
      <c r="V260" s="34">
        <f t="shared" si="3"/>
        <v>0</v>
      </c>
    </row>
    <row r="261" spans="1:22" s="1" customFormat="1" x14ac:dyDescent="0.25">
      <c r="A261" s="33">
        <v>46106</v>
      </c>
      <c r="B261" s="9" t="s">
        <v>27</v>
      </c>
      <c r="C261" s="9" t="s">
        <v>36</v>
      </c>
      <c r="D261" s="35" t="s">
        <v>326</v>
      </c>
      <c r="E261" s="9" t="s">
        <v>272</v>
      </c>
      <c r="F261" s="35" t="s">
        <v>277</v>
      </c>
      <c r="G261" s="9" t="s">
        <v>275</v>
      </c>
      <c r="H261" s="9" t="s">
        <v>51</v>
      </c>
      <c r="I261" s="35">
        <v>4</v>
      </c>
      <c r="J261" s="9" t="s">
        <v>286</v>
      </c>
      <c r="K261" s="9">
        <v>101</v>
      </c>
      <c r="L261" s="38">
        <v>30</v>
      </c>
      <c r="M261" s="38">
        <v>3030</v>
      </c>
      <c r="N261" s="9">
        <v>50.5</v>
      </c>
      <c r="O261" s="9" t="s">
        <v>85</v>
      </c>
      <c r="P261" s="35">
        <v>75</v>
      </c>
      <c r="Q261" s="43"/>
      <c r="R261" s="35">
        <v>213.25</v>
      </c>
      <c r="S261" s="33">
        <v>46107</v>
      </c>
      <c r="T261" s="35">
        <v>75</v>
      </c>
      <c r="U261" s="35">
        <v>24.5</v>
      </c>
      <c r="V261" s="35">
        <f t="shared" ref="V261:V324" si="4">+K261-P261</f>
        <v>26</v>
      </c>
    </row>
    <row r="262" spans="1:22" s="4" customFormat="1" x14ac:dyDescent="0.25">
      <c r="A262" s="32">
        <v>46107</v>
      </c>
      <c r="B262" s="7" t="s">
        <v>29</v>
      </c>
      <c r="C262" s="7" t="s">
        <v>38</v>
      </c>
      <c r="D262" s="34" t="s">
        <v>326</v>
      </c>
      <c r="E262" s="7" t="s">
        <v>272</v>
      </c>
      <c r="F262" s="34" t="s">
        <v>276</v>
      </c>
      <c r="G262" s="7" t="s">
        <v>275</v>
      </c>
      <c r="H262" s="7" t="s">
        <v>152</v>
      </c>
      <c r="I262" s="34">
        <v>6</v>
      </c>
      <c r="J262" s="7" t="s">
        <v>288</v>
      </c>
      <c r="K262" s="7">
        <v>47</v>
      </c>
      <c r="L262" s="37">
        <v>90</v>
      </c>
      <c r="M262" s="37">
        <v>4230</v>
      </c>
      <c r="N262" s="7">
        <v>70.5</v>
      </c>
      <c r="O262" s="7" t="s">
        <v>85</v>
      </c>
      <c r="P262" s="34">
        <v>47</v>
      </c>
      <c r="Q262" s="44"/>
      <c r="R262" s="34">
        <v>457.5</v>
      </c>
      <c r="S262" s="32">
        <v>46107</v>
      </c>
      <c r="T262" s="34">
        <v>72</v>
      </c>
      <c r="U262" s="34">
        <v>1.5</v>
      </c>
      <c r="V262" s="34">
        <f t="shared" si="4"/>
        <v>0</v>
      </c>
    </row>
    <row r="263" spans="1:22" s="1" customFormat="1" x14ac:dyDescent="0.25">
      <c r="A263" s="33">
        <v>46107</v>
      </c>
      <c r="B263" s="9" t="s">
        <v>30</v>
      </c>
      <c r="C263" s="9" t="s">
        <v>40</v>
      </c>
      <c r="D263" s="35" t="s">
        <v>326</v>
      </c>
      <c r="E263" s="9" t="s">
        <v>272</v>
      </c>
      <c r="F263" s="35" t="s">
        <v>276</v>
      </c>
      <c r="G263" s="9" t="s">
        <v>275</v>
      </c>
      <c r="H263" s="9" t="s">
        <v>152</v>
      </c>
      <c r="I263" s="35">
        <v>8</v>
      </c>
      <c r="J263" s="9" t="s">
        <v>291</v>
      </c>
      <c r="K263" s="9">
        <v>47</v>
      </c>
      <c r="L263" s="38">
        <v>90</v>
      </c>
      <c r="M263" s="38">
        <v>4230</v>
      </c>
      <c r="N263" s="9">
        <v>70.5</v>
      </c>
      <c r="O263" s="9" t="s">
        <v>85</v>
      </c>
      <c r="P263" s="35">
        <v>47</v>
      </c>
      <c r="Q263" s="43"/>
      <c r="R263" s="35">
        <v>457.5</v>
      </c>
      <c r="S263" s="33">
        <v>46107</v>
      </c>
      <c r="T263" s="35">
        <v>120</v>
      </c>
      <c r="U263" s="35">
        <v>49.5</v>
      </c>
      <c r="V263" s="35">
        <f t="shared" si="4"/>
        <v>0</v>
      </c>
    </row>
    <row r="264" spans="1:22" s="4" customFormat="1" x14ac:dyDescent="0.25">
      <c r="A264" s="32">
        <v>46107</v>
      </c>
      <c r="B264" s="7" t="s">
        <v>30</v>
      </c>
      <c r="C264" s="7" t="s">
        <v>40</v>
      </c>
      <c r="D264" s="34" t="s">
        <v>326</v>
      </c>
      <c r="E264" s="7" t="s">
        <v>272</v>
      </c>
      <c r="F264" s="34" t="s">
        <v>277</v>
      </c>
      <c r="G264" s="7" t="s">
        <v>275</v>
      </c>
      <c r="H264" s="7" t="s">
        <v>51</v>
      </c>
      <c r="I264" s="34">
        <v>8</v>
      </c>
      <c r="J264" s="7" t="s">
        <v>291</v>
      </c>
      <c r="K264" s="7">
        <v>101</v>
      </c>
      <c r="L264" s="37">
        <v>90</v>
      </c>
      <c r="M264" s="37">
        <v>9090</v>
      </c>
      <c r="N264" s="7">
        <v>151.5</v>
      </c>
      <c r="O264" s="7" t="s">
        <v>85</v>
      </c>
      <c r="P264" s="34">
        <v>101</v>
      </c>
      <c r="Q264" s="44"/>
      <c r="R264" s="34">
        <v>306.5</v>
      </c>
      <c r="S264" s="32">
        <v>46108</v>
      </c>
      <c r="T264" s="34">
        <v>200</v>
      </c>
      <c r="U264" s="34">
        <v>48.5</v>
      </c>
      <c r="V264" s="34">
        <f t="shared" si="4"/>
        <v>0</v>
      </c>
    </row>
    <row r="265" spans="1:22" s="1" customFormat="1" x14ac:dyDescent="0.25">
      <c r="A265" s="33">
        <v>46107</v>
      </c>
      <c r="B265" s="9" t="s">
        <v>27</v>
      </c>
      <c r="C265" s="9" t="s">
        <v>36</v>
      </c>
      <c r="D265" s="35" t="s">
        <v>326</v>
      </c>
      <c r="E265" s="9" t="s">
        <v>272</v>
      </c>
      <c r="F265" s="35" t="s">
        <v>277</v>
      </c>
      <c r="G265" s="9" t="s">
        <v>275</v>
      </c>
      <c r="H265" s="9" t="s">
        <v>51</v>
      </c>
      <c r="I265" s="35">
        <v>6</v>
      </c>
      <c r="J265" s="9" t="s">
        <v>288</v>
      </c>
      <c r="K265" s="9">
        <v>101</v>
      </c>
      <c r="L265" s="38">
        <v>90</v>
      </c>
      <c r="M265" s="38">
        <v>9090</v>
      </c>
      <c r="N265" s="9">
        <v>151.5</v>
      </c>
      <c r="O265" s="9" t="s">
        <v>85</v>
      </c>
      <c r="P265" s="35">
        <v>101</v>
      </c>
      <c r="Q265" s="43"/>
      <c r="R265" s="35">
        <v>376.5</v>
      </c>
      <c r="S265" s="33">
        <v>46107</v>
      </c>
      <c r="T265" s="35">
        <v>155</v>
      </c>
      <c r="U265" s="35">
        <v>3.5</v>
      </c>
      <c r="V265" s="35">
        <f t="shared" si="4"/>
        <v>0</v>
      </c>
    </row>
    <row r="266" spans="1:22" s="4" customFormat="1" x14ac:dyDescent="0.25">
      <c r="A266" s="32">
        <v>46107</v>
      </c>
      <c r="B266" s="7" t="s">
        <v>27</v>
      </c>
      <c r="C266" s="7" t="s">
        <v>36</v>
      </c>
      <c r="D266" s="34" t="s">
        <v>326</v>
      </c>
      <c r="E266" s="7" t="s">
        <v>272</v>
      </c>
      <c r="F266" s="34" t="s">
        <v>278</v>
      </c>
      <c r="G266" s="7" t="s">
        <v>275</v>
      </c>
      <c r="H266" s="7" t="s">
        <v>48</v>
      </c>
      <c r="I266" s="34">
        <v>3</v>
      </c>
      <c r="J266" s="7" t="s">
        <v>284</v>
      </c>
      <c r="K266" s="7">
        <v>94</v>
      </c>
      <c r="L266" s="37">
        <v>30</v>
      </c>
      <c r="M266" s="37">
        <v>2820</v>
      </c>
      <c r="N266" s="7">
        <v>47</v>
      </c>
      <c r="O266" s="7" t="s">
        <v>85</v>
      </c>
      <c r="P266" s="34">
        <v>94</v>
      </c>
      <c r="Q266" s="44"/>
      <c r="R266" s="34">
        <v>330</v>
      </c>
      <c r="S266" s="32">
        <v>46107</v>
      </c>
      <c r="T266" s="34">
        <v>47</v>
      </c>
      <c r="U266" s="34">
        <v>0</v>
      </c>
      <c r="V266" s="34">
        <f t="shared" si="4"/>
        <v>0</v>
      </c>
    </row>
    <row r="267" spans="1:22" s="1" customFormat="1" x14ac:dyDescent="0.25">
      <c r="A267" s="33">
        <v>46107</v>
      </c>
      <c r="B267" s="9" t="s">
        <v>27</v>
      </c>
      <c r="C267" s="9" t="s">
        <v>36</v>
      </c>
      <c r="D267" s="35" t="s">
        <v>326</v>
      </c>
      <c r="E267" s="9" t="s">
        <v>272</v>
      </c>
      <c r="F267" s="35" t="s">
        <v>278</v>
      </c>
      <c r="G267" s="9" t="s">
        <v>275</v>
      </c>
      <c r="H267" s="9" t="s">
        <v>48</v>
      </c>
      <c r="I267" s="35">
        <v>4</v>
      </c>
      <c r="J267" s="9" t="s">
        <v>286</v>
      </c>
      <c r="K267" s="9">
        <v>94</v>
      </c>
      <c r="L267" s="38">
        <v>30</v>
      </c>
      <c r="M267" s="38">
        <v>2820</v>
      </c>
      <c r="N267" s="9">
        <v>47</v>
      </c>
      <c r="O267" s="9" t="s">
        <v>85</v>
      </c>
      <c r="P267" s="35">
        <v>94</v>
      </c>
      <c r="Q267" s="43"/>
      <c r="R267" s="35">
        <v>283</v>
      </c>
      <c r="S267" s="33">
        <v>46108</v>
      </c>
      <c r="T267" s="35">
        <v>48</v>
      </c>
      <c r="U267" s="35">
        <v>1</v>
      </c>
      <c r="V267" s="35">
        <f t="shared" si="4"/>
        <v>0</v>
      </c>
    </row>
    <row r="268" spans="1:22" s="4" customFormat="1" x14ac:dyDescent="0.25">
      <c r="A268" s="32">
        <v>46108</v>
      </c>
      <c r="B268" s="7" t="s">
        <v>30</v>
      </c>
      <c r="C268" s="7" t="s">
        <v>40</v>
      </c>
      <c r="D268" s="34" t="s">
        <v>326</v>
      </c>
      <c r="E268" s="7" t="s">
        <v>272</v>
      </c>
      <c r="F268" s="34" t="s">
        <v>279</v>
      </c>
      <c r="G268" s="7" t="s">
        <v>275</v>
      </c>
      <c r="H268" s="7" t="s">
        <v>49</v>
      </c>
      <c r="I268" s="34">
        <v>3</v>
      </c>
      <c r="J268" s="7" t="s">
        <v>284</v>
      </c>
      <c r="K268" s="7">
        <v>47</v>
      </c>
      <c r="L268" s="37">
        <v>30</v>
      </c>
      <c r="M268" s="37">
        <v>1410</v>
      </c>
      <c r="N268" s="7">
        <v>23.5</v>
      </c>
      <c r="O268" s="7" t="s">
        <v>85</v>
      </c>
      <c r="P268" s="34">
        <v>47</v>
      </c>
      <c r="Q268" s="44"/>
      <c r="R268" s="34">
        <v>504.5</v>
      </c>
      <c r="S268" s="32">
        <v>46109</v>
      </c>
      <c r="T268" s="34">
        <v>25</v>
      </c>
      <c r="U268" s="34">
        <v>1.5</v>
      </c>
      <c r="V268" s="34">
        <f t="shared" si="4"/>
        <v>0</v>
      </c>
    </row>
    <row r="269" spans="1:22" s="1" customFormat="1" x14ac:dyDescent="0.25">
      <c r="A269" s="33">
        <v>46108</v>
      </c>
      <c r="B269" s="9" t="s">
        <v>30</v>
      </c>
      <c r="C269" s="9" t="s">
        <v>40</v>
      </c>
      <c r="D269" s="35" t="s">
        <v>326</v>
      </c>
      <c r="E269" s="9" t="s">
        <v>272</v>
      </c>
      <c r="F269" s="35" t="s">
        <v>279</v>
      </c>
      <c r="G269" s="9" t="s">
        <v>275</v>
      </c>
      <c r="H269" s="9" t="s">
        <v>49</v>
      </c>
      <c r="I269" s="35">
        <v>4</v>
      </c>
      <c r="J269" s="9" t="s">
        <v>286</v>
      </c>
      <c r="K269" s="9">
        <v>47</v>
      </c>
      <c r="L269" s="38">
        <v>30</v>
      </c>
      <c r="M269" s="38">
        <v>1410</v>
      </c>
      <c r="N269" s="9">
        <v>23.5</v>
      </c>
      <c r="O269" s="9" t="s">
        <v>85</v>
      </c>
      <c r="P269" s="35">
        <v>47</v>
      </c>
      <c r="Q269" s="43"/>
      <c r="R269" s="35">
        <v>481.5</v>
      </c>
      <c r="S269" s="33">
        <v>46109</v>
      </c>
      <c r="T269" s="35">
        <v>25</v>
      </c>
      <c r="U269" s="35">
        <v>1.5</v>
      </c>
      <c r="V269" s="35">
        <f t="shared" si="4"/>
        <v>0</v>
      </c>
    </row>
    <row r="270" spans="1:22" s="4" customFormat="1" x14ac:dyDescent="0.25">
      <c r="A270" s="32">
        <v>46108</v>
      </c>
      <c r="B270" s="7" t="s">
        <v>27</v>
      </c>
      <c r="C270" s="7" t="s">
        <v>36</v>
      </c>
      <c r="D270" s="34" t="s">
        <v>326</v>
      </c>
      <c r="E270" s="7" t="s">
        <v>272</v>
      </c>
      <c r="F270" s="34" t="s">
        <v>278</v>
      </c>
      <c r="G270" s="7" t="s">
        <v>275</v>
      </c>
      <c r="H270" s="7" t="s">
        <v>48</v>
      </c>
      <c r="I270" s="34">
        <v>6</v>
      </c>
      <c r="J270" s="7" t="s">
        <v>288</v>
      </c>
      <c r="K270" s="7">
        <v>94</v>
      </c>
      <c r="L270" s="37">
        <v>90</v>
      </c>
      <c r="M270" s="37">
        <v>8460</v>
      </c>
      <c r="N270" s="7">
        <v>141</v>
      </c>
      <c r="O270" s="7" t="s">
        <v>85</v>
      </c>
      <c r="P270" s="34">
        <v>94</v>
      </c>
      <c r="Q270" s="44"/>
      <c r="R270" s="34">
        <v>387</v>
      </c>
      <c r="S270" s="32">
        <v>46108</v>
      </c>
      <c r="T270" s="34">
        <v>145</v>
      </c>
      <c r="U270" s="34">
        <v>4</v>
      </c>
      <c r="V270" s="34">
        <f t="shared" si="4"/>
        <v>0</v>
      </c>
    </row>
    <row r="271" spans="1:22" s="1" customFormat="1" x14ac:dyDescent="0.25">
      <c r="A271" s="33">
        <v>46108</v>
      </c>
      <c r="B271" s="9" t="s">
        <v>29</v>
      </c>
      <c r="C271" s="9" t="s">
        <v>38</v>
      </c>
      <c r="D271" s="35" t="s">
        <v>326</v>
      </c>
      <c r="E271" s="9" t="s">
        <v>272</v>
      </c>
      <c r="F271" s="35" t="s">
        <v>278</v>
      </c>
      <c r="G271" s="9" t="s">
        <v>275</v>
      </c>
      <c r="H271" s="9" t="s">
        <v>48</v>
      </c>
      <c r="I271" s="35">
        <v>7</v>
      </c>
      <c r="J271" s="9" t="s">
        <v>290</v>
      </c>
      <c r="K271" s="9">
        <v>94</v>
      </c>
      <c r="L271" s="38">
        <v>120</v>
      </c>
      <c r="M271" s="38">
        <v>11280</v>
      </c>
      <c r="N271" s="9">
        <v>188</v>
      </c>
      <c r="O271" s="9" t="s">
        <v>85</v>
      </c>
      <c r="P271" s="35">
        <v>94</v>
      </c>
      <c r="Q271" s="43"/>
      <c r="R271" s="35">
        <v>340</v>
      </c>
      <c r="S271" s="33">
        <v>46108</v>
      </c>
      <c r="T271" s="35">
        <v>192</v>
      </c>
      <c r="U271" s="35">
        <v>4</v>
      </c>
      <c r="V271" s="35">
        <f t="shared" si="4"/>
        <v>0</v>
      </c>
    </row>
    <row r="272" spans="1:22" s="4" customFormat="1" x14ac:dyDescent="0.25">
      <c r="A272" s="32">
        <v>46108</v>
      </c>
      <c r="B272" s="7" t="s">
        <v>29</v>
      </c>
      <c r="C272" s="7" t="s">
        <v>38</v>
      </c>
      <c r="D272" s="34" t="s">
        <v>326</v>
      </c>
      <c r="E272" s="7" t="s">
        <v>272</v>
      </c>
      <c r="F272" s="34" t="s">
        <v>276</v>
      </c>
      <c r="G272" s="7" t="s">
        <v>275</v>
      </c>
      <c r="H272" s="7" t="s">
        <v>152</v>
      </c>
      <c r="I272" s="34">
        <v>10</v>
      </c>
      <c r="J272" s="7" t="s">
        <v>295</v>
      </c>
      <c r="K272" s="7">
        <v>47</v>
      </c>
      <c r="L272" s="37">
        <v>30</v>
      </c>
      <c r="M272" s="37">
        <v>1410</v>
      </c>
      <c r="N272" s="7">
        <v>23.5</v>
      </c>
      <c r="O272" s="7" t="s">
        <v>85</v>
      </c>
      <c r="P272" s="34">
        <v>47</v>
      </c>
      <c r="Q272" s="44"/>
      <c r="R272" s="34">
        <v>316.5</v>
      </c>
      <c r="S272" s="32">
        <v>46108</v>
      </c>
      <c r="T272" s="34">
        <v>25</v>
      </c>
      <c r="U272" s="34">
        <v>1.5</v>
      </c>
      <c r="V272" s="34">
        <f t="shared" si="4"/>
        <v>0</v>
      </c>
    </row>
    <row r="273" spans="1:22" s="1" customFormat="1" x14ac:dyDescent="0.25">
      <c r="A273" s="33">
        <v>46108</v>
      </c>
      <c r="B273" s="9" t="s">
        <v>29</v>
      </c>
      <c r="C273" s="9" t="s">
        <v>38</v>
      </c>
      <c r="D273" s="35" t="s">
        <v>326</v>
      </c>
      <c r="E273" s="9" t="s">
        <v>272</v>
      </c>
      <c r="F273" s="35" t="s">
        <v>277</v>
      </c>
      <c r="G273" s="9" t="s">
        <v>275</v>
      </c>
      <c r="H273" s="9" t="s">
        <v>51</v>
      </c>
      <c r="I273" s="35">
        <v>10</v>
      </c>
      <c r="J273" s="9" t="s">
        <v>295</v>
      </c>
      <c r="K273" s="9">
        <v>101</v>
      </c>
      <c r="L273" s="38">
        <v>30</v>
      </c>
      <c r="M273" s="38">
        <v>3030</v>
      </c>
      <c r="N273" s="9">
        <v>50.5</v>
      </c>
      <c r="O273" s="9" t="s">
        <v>85</v>
      </c>
      <c r="P273" s="35">
        <v>101</v>
      </c>
      <c r="Q273" s="43"/>
      <c r="R273" s="35">
        <v>266.5</v>
      </c>
      <c r="S273" s="33">
        <v>46108</v>
      </c>
      <c r="T273" s="35">
        <v>52</v>
      </c>
      <c r="U273" s="35">
        <v>1.5</v>
      </c>
      <c r="V273" s="35">
        <f t="shared" si="4"/>
        <v>0</v>
      </c>
    </row>
    <row r="274" spans="1:22" s="4" customFormat="1" x14ac:dyDescent="0.25">
      <c r="A274" s="32">
        <v>46108</v>
      </c>
      <c r="B274" s="7" t="s">
        <v>29</v>
      </c>
      <c r="C274" s="7" t="s">
        <v>38</v>
      </c>
      <c r="D274" s="34" t="s">
        <v>326</v>
      </c>
      <c r="E274" s="7" t="s">
        <v>272</v>
      </c>
      <c r="F274" s="34" t="s">
        <v>277</v>
      </c>
      <c r="G274" s="7" t="s">
        <v>275</v>
      </c>
      <c r="H274" s="7" t="s">
        <v>51</v>
      </c>
      <c r="I274" s="34">
        <v>7</v>
      </c>
      <c r="J274" s="7" t="s">
        <v>290</v>
      </c>
      <c r="K274" s="7">
        <v>101</v>
      </c>
      <c r="L274" s="37">
        <v>120</v>
      </c>
      <c r="M274" s="37">
        <v>12120</v>
      </c>
      <c r="N274" s="7">
        <v>202</v>
      </c>
      <c r="O274" s="7" t="s">
        <v>85</v>
      </c>
      <c r="P274" s="34">
        <v>101</v>
      </c>
      <c r="Q274" s="44"/>
      <c r="R274" s="34">
        <v>65</v>
      </c>
      <c r="S274" s="32">
        <v>46108</v>
      </c>
      <c r="T274" s="34">
        <v>205</v>
      </c>
      <c r="U274" s="34">
        <v>3</v>
      </c>
      <c r="V274" s="34">
        <f t="shared" si="4"/>
        <v>0</v>
      </c>
    </row>
    <row r="275" spans="1:22" s="1" customFormat="1" x14ac:dyDescent="0.25">
      <c r="A275" s="33">
        <v>46108</v>
      </c>
      <c r="B275" s="9" t="s">
        <v>30</v>
      </c>
      <c r="C275" s="9" t="s">
        <v>40</v>
      </c>
      <c r="D275" s="35" t="s">
        <v>326</v>
      </c>
      <c r="E275" s="9" t="s">
        <v>272</v>
      </c>
      <c r="F275" s="35" t="s">
        <v>278</v>
      </c>
      <c r="G275" s="9" t="s">
        <v>275</v>
      </c>
      <c r="H275" s="9" t="s">
        <v>48</v>
      </c>
      <c r="I275" s="35">
        <v>8</v>
      </c>
      <c r="J275" s="9" t="s">
        <v>291</v>
      </c>
      <c r="K275" s="9">
        <v>94</v>
      </c>
      <c r="L275" s="38">
        <v>90</v>
      </c>
      <c r="M275" s="38">
        <v>8460</v>
      </c>
      <c r="N275" s="9">
        <v>141</v>
      </c>
      <c r="O275" s="9" t="s">
        <v>85</v>
      </c>
      <c r="P275" s="35">
        <v>94</v>
      </c>
      <c r="Q275" s="43"/>
      <c r="R275" s="35">
        <v>341</v>
      </c>
      <c r="S275" s="33">
        <v>46108</v>
      </c>
      <c r="T275" s="35">
        <v>150</v>
      </c>
      <c r="U275" s="35">
        <v>9</v>
      </c>
      <c r="V275" s="35">
        <f t="shared" si="4"/>
        <v>0</v>
      </c>
    </row>
    <row r="276" spans="1:22" s="4" customFormat="1" x14ac:dyDescent="0.25">
      <c r="A276" s="32">
        <v>46108</v>
      </c>
      <c r="B276" s="7" t="s">
        <v>27</v>
      </c>
      <c r="C276" s="7" t="s">
        <v>36</v>
      </c>
      <c r="D276" s="34" t="s">
        <v>326</v>
      </c>
      <c r="E276" s="7" t="s">
        <v>272</v>
      </c>
      <c r="F276" s="34" t="s">
        <v>279</v>
      </c>
      <c r="G276" s="7" t="s">
        <v>275</v>
      </c>
      <c r="H276" s="7" t="s">
        <v>49</v>
      </c>
      <c r="I276" s="34">
        <v>6</v>
      </c>
      <c r="J276" s="7" t="s">
        <v>288</v>
      </c>
      <c r="K276" s="7">
        <v>47</v>
      </c>
      <c r="L276" s="37">
        <v>90</v>
      </c>
      <c r="M276" s="37">
        <v>4230</v>
      </c>
      <c r="N276" s="7">
        <v>70.5</v>
      </c>
      <c r="O276" s="7" t="s">
        <v>85</v>
      </c>
      <c r="P276" s="34">
        <v>47</v>
      </c>
      <c r="Q276" s="44"/>
      <c r="R276" s="34">
        <v>316.5</v>
      </c>
      <c r="S276" s="32">
        <v>46109</v>
      </c>
      <c r="T276" s="34">
        <v>72</v>
      </c>
      <c r="U276" s="34">
        <v>1.5</v>
      </c>
      <c r="V276" s="34">
        <f t="shared" si="4"/>
        <v>0</v>
      </c>
    </row>
    <row r="277" spans="1:22" s="1" customFormat="1" x14ac:dyDescent="0.25">
      <c r="A277" s="33">
        <v>46108</v>
      </c>
      <c r="B277" s="9" t="s">
        <v>27</v>
      </c>
      <c r="C277" s="9" t="s">
        <v>36</v>
      </c>
      <c r="D277" s="35" t="s">
        <v>326</v>
      </c>
      <c r="E277" s="9" t="s">
        <v>272</v>
      </c>
      <c r="F277" s="35" t="s">
        <v>279</v>
      </c>
      <c r="G277" s="9" t="s">
        <v>275</v>
      </c>
      <c r="H277" s="9" t="s">
        <v>49</v>
      </c>
      <c r="I277" s="35">
        <v>7</v>
      </c>
      <c r="J277" s="9" t="s">
        <v>290</v>
      </c>
      <c r="K277" s="9">
        <v>47</v>
      </c>
      <c r="L277" s="38">
        <v>120</v>
      </c>
      <c r="M277" s="38">
        <v>5640</v>
      </c>
      <c r="N277" s="9">
        <v>94</v>
      </c>
      <c r="O277" s="9" t="s">
        <v>85</v>
      </c>
      <c r="P277" s="35">
        <v>47</v>
      </c>
      <c r="Q277" s="43"/>
      <c r="R277" s="35">
        <v>223</v>
      </c>
      <c r="S277" s="33">
        <v>46109</v>
      </c>
      <c r="T277" s="35">
        <v>95</v>
      </c>
      <c r="U277" s="35">
        <v>1</v>
      </c>
      <c r="V277" s="35">
        <f t="shared" si="4"/>
        <v>0</v>
      </c>
    </row>
    <row r="278" spans="1:22" s="4" customFormat="1" x14ac:dyDescent="0.25">
      <c r="A278" s="32">
        <v>46112</v>
      </c>
      <c r="B278" s="7" t="s">
        <v>30</v>
      </c>
      <c r="C278" s="7" t="s">
        <v>40</v>
      </c>
      <c r="D278" s="34" t="s">
        <v>298</v>
      </c>
      <c r="E278" s="7" t="s">
        <v>299</v>
      </c>
      <c r="F278" s="34" t="s">
        <v>302</v>
      </c>
      <c r="G278" s="7" t="s">
        <v>301</v>
      </c>
      <c r="H278" s="7" t="s">
        <v>51</v>
      </c>
      <c r="I278" s="34">
        <v>1</v>
      </c>
      <c r="J278" s="7" t="s">
        <v>57</v>
      </c>
      <c r="K278" s="7">
        <v>9</v>
      </c>
      <c r="L278" s="37">
        <v>45</v>
      </c>
      <c r="M278" s="37">
        <v>405</v>
      </c>
      <c r="N278" s="7">
        <v>6.75</v>
      </c>
      <c r="O278" s="7" t="s">
        <v>85</v>
      </c>
      <c r="P278" s="34">
        <v>9</v>
      </c>
      <c r="Q278" s="44"/>
      <c r="R278" s="34">
        <v>521.25</v>
      </c>
      <c r="S278" s="32">
        <v>46113</v>
      </c>
      <c r="T278" s="34">
        <v>8</v>
      </c>
      <c r="U278" s="34">
        <v>1.25</v>
      </c>
      <c r="V278" s="34">
        <f t="shared" si="4"/>
        <v>0</v>
      </c>
    </row>
    <row r="279" spans="1:22" s="1" customFormat="1" x14ac:dyDescent="0.25">
      <c r="A279" s="33">
        <v>46112</v>
      </c>
      <c r="B279" s="9" t="s">
        <v>30</v>
      </c>
      <c r="C279" s="9" t="s">
        <v>40</v>
      </c>
      <c r="D279" s="35" t="s">
        <v>298</v>
      </c>
      <c r="E279" s="9" t="s">
        <v>299</v>
      </c>
      <c r="F279" s="35" t="s">
        <v>304</v>
      </c>
      <c r="G279" s="9" t="s">
        <v>301</v>
      </c>
      <c r="H279" s="9" t="s">
        <v>48</v>
      </c>
      <c r="I279" s="35">
        <v>1</v>
      </c>
      <c r="J279" s="9" t="s">
        <v>57</v>
      </c>
      <c r="K279" s="9">
        <v>10</v>
      </c>
      <c r="L279" s="38">
        <v>45</v>
      </c>
      <c r="M279" s="38">
        <v>450</v>
      </c>
      <c r="N279" s="9">
        <v>7.5</v>
      </c>
      <c r="O279" s="9" t="s">
        <v>85</v>
      </c>
      <c r="P279" s="35">
        <v>10</v>
      </c>
      <c r="Q279" s="43"/>
      <c r="R279" s="35">
        <v>514.5</v>
      </c>
      <c r="S279" s="33">
        <v>46112</v>
      </c>
      <c r="T279" s="35">
        <v>8</v>
      </c>
      <c r="U279" s="35">
        <v>0.5</v>
      </c>
      <c r="V279" s="35">
        <f t="shared" si="4"/>
        <v>0</v>
      </c>
    </row>
    <row r="280" spans="1:22" s="4" customFormat="1" x14ac:dyDescent="0.25">
      <c r="A280" s="32">
        <v>46112</v>
      </c>
      <c r="B280" s="7" t="s">
        <v>30</v>
      </c>
      <c r="C280" s="7" t="s">
        <v>40</v>
      </c>
      <c r="D280" s="34" t="s">
        <v>298</v>
      </c>
      <c r="E280" s="7" t="s">
        <v>299</v>
      </c>
      <c r="F280" s="34" t="s">
        <v>305</v>
      </c>
      <c r="G280" s="7" t="s">
        <v>301</v>
      </c>
      <c r="H280" s="7" t="s">
        <v>49</v>
      </c>
      <c r="I280" s="34">
        <v>1</v>
      </c>
      <c r="J280" s="7" t="s">
        <v>57</v>
      </c>
      <c r="K280" s="7">
        <v>4</v>
      </c>
      <c r="L280" s="37">
        <v>45</v>
      </c>
      <c r="M280" s="37">
        <v>180</v>
      </c>
      <c r="N280" s="7">
        <v>3</v>
      </c>
      <c r="O280" s="7" t="s">
        <v>85</v>
      </c>
      <c r="P280" s="34">
        <v>4</v>
      </c>
      <c r="Q280" s="44"/>
      <c r="R280" s="34">
        <v>512</v>
      </c>
      <c r="S280" s="32">
        <v>46112</v>
      </c>
      <c r="T280" s="34">
        <v>4</v>
      </c>
      <c r="U280" s="34">
        <v>1</v>
      </c>
      <c r="V280" s="34">
        <f t="shared" si="4"/>
        <v>0</v>
      </c>
    </row>
    <row r="281" spans="1:22" s="1" customFormat="1" x14ac:dyDescent="0.25">
      <c r="A281" s="33">
        <v>46112</v>
      </c>
      <c r="B281" s="9" t="s">
        <v>30</v>
      </c>
      <c r="C281" s="9" t="s">
        <v>40</v>
      </c>
      <c r="D281" s="35" t="s">
        <v>298</v>
      </c>
      <c r="E281" s="9" t="s">
        <v>299</v>
      </c>
      <c r="F281" s="35" t="s">
        <v>306</v>
      </c>
      <c r="G281" s="9" t="s">
        <v>301</v>
      </c>
      <c r="H281" s="9" t="s">
        <v>50</v>
      </c>
      <c r="I281" s="35">
        <v>1</v>
      </c>
      <c r="J281" s="9" t="s">
        <v>57</v>
      </c>
      <c r="K281" s="9">
        <v>4</v>
      </c>
      <c r="L281" s="38">
        <v>45</v>
      </c>
      <c r="M281" s="38">
        <v>180</v>
      </c>
      <c r="N281" s="9">
        <v>3</v>
      </c>
      <c r="O281" s="9" t="s">
        <v>85</v>
      </c>
      <c r="P281" s="35">
        <v>4</v>
      </c>
      <c r="Q281" s="43"/>
      <c r="R281" s="35">
        <v>509</v>
      </c>
      <c r="S281" s="33">
        <v>46112</v>
      </c>
      <c r="T281" s="35">
        <v>4</v>
      </c>
      <c r="U281" s="35">
        <v>1</v>
      </c>
      <c r="V281" s="35">
        <f t="shared" si="4"/>
        <v>0</v>
      </c>
    </row>
    <row r="282" spans="1:22" s="4" customFormat="1" x14ac:dyDescent="0.25">
      <c r="A282" s="32">
        <v>46112</v>
      </c>
      <c r="B282" s="7" t="s">
        <v>30</v>
      </c>
      <c r="C282" s="7" t="s">
        <v>40</v>
      </c>
      <c r="D282" s="34" t="s">
        <v>298</v>
      </c>
      <c r="E282" s="7" t="s">
        <v>299</v>
      </c>
      <c r="F282" s="34" t="s">
        <v>307</v>
      </c>
      <c r="G282" s="7" t="s">
        <v>55</v>
      </c>
      <c r="H282" s="7" t="s">
        <v>51</v>
      </c>
      <c r="I282" s="34">
        <v>1</v>
      </c>
      <c r="J282" s="7" t="s">
        <v>57</v>
      </c>
      <c r="K282" s="7">
        <v>30</v>
      </c>
      <c r="L282" s="37">
        <v>45</v>
      </c>
      <c r="M282" s="37">
        <v>1350</v>
      </c>
      <c r="N282" s="7">
        <v>22.5</v>
      </c>
      <c r="O282" s="7" t="s">
        <v>85</v>
      </c>
      <c r="P282" s="34">
        <v>30</v>
      </c>
      <c r="Q282" s="44"/>
      <c r="R282" s="34">
        <v>486.5</v>
      </c>
      <c r="S282" s="32">
        <v>46112</v>
      </c>
      <c r="T282" s="34">
        <v>24</v>
      </c>
      <c r="U282" s="34">
        <v>1.5</v>
      </c>
      <c r="V282" s="34">
        <f t="shared" si="4"/>
        <v>0</v>
      </c>
    </row>
    <row r="283" spans="1:22" s="1" customFormat="1" x14ac:dyDescent="0.25">
      <c r="A283" s="33">
        <v>46112</v>
      </c>
      <c r="B283" s="9" t="s">
        <v>30</v>
      </c>
      <c r="C283" s="9" t="s">
        <v>40</v>
      </c>
      <c r="D283" s="35" t="s">
        <v>298</v>
      </c>
      <c r="E283" s="9" t="s">
        <v>299</v>
      </c>
      <c r="F283" s="35" t="s">
        <v>308</v>
      </c>
      <c r="G283" s="9" t="s">
        <v>55</v>
      </c>
      <c r="H283" s="9" t="s">
        <v>48</v>
      </c>
      <c r="I283" s="35">
        <v>1</v>
      </c>
      <c r="J283" s="9" t="s">
        <v>57</v>
      </c>
      <c r="K283" s="9">
        <v>31</v>
      </c>
      <c r="L283" s="38">
        <v>45</v>
      </c>
      <c r="M283" s="38">
        <v>1395</v>
      </c>
      <c r="N283" s="9">
        <v>23.25</v>
      </c>
      <c r="O283" s="9" t="s">
        <v>85</v>
      </c>
      <c r="P283" s="35">
        <v>31</v>
      </c>
      <c r="Q283" s="43"/>
      <c r="R283" s="35">
        <v>463.75</v>
      </c>
      <c r="S283" s="33">
        <v>46113</v>
      </c>
      <c r="T283" s="35">
        <v>25</v>
      </c>
      <c r="U283" s="35">
        <v>1.75</v>
      </c>
      <c r="V283" s="35">
        <f t="shared" si="4"/>
        <v>0</v>
      </c>
    </row>
    <row r="284" spans="1:22" s="4" customFormat="1" x14ac:dyDescent="0.25">
      <c r="A284" s="32">
        <v>46112</v>
      </c>
      <c r="B284" s="7" t="s">
        <v>30</v>
      </c>
      <c r="C284" s="7" t="s">
        <v>40</v>
      </c>
      <c r="D284" s="34" t="s">
        <v>298</v>
      </c>
      <c r="E284" s="7" t="s">
        <v>299</v>
      </c>
      <c r="F284" s="34" t="s">
        <v>309</v>
      </c>
      <c r="G284" s="7" t="s">
        <v>55</v>
      </c>
      <c r="H284" s="7" t="s">
        <v>49</v>
      </c>
      <c r="I284" s="34">
        <v>1</v>
      </c>
      <c r="J284" s="7" t="s">
        <v>57</v>
      </c>
      <c r="K284" s="7">
        <v>16</v>
      </c>
      <c r="L284" s="37">
        <v>45</v>
      </c>
      <c r="M284" s="37">
        <v>720</v>
      </c>
      <c r="N284" s="7">
        <v>12</v>
      </c>
      <c r="O284" s="7" t="s">
        <v>85</v>
      </c>
      <c r="P284" s="34">
        <v>16</v>
      </c>
      <c r="Q284" s="44"/>
      <c r="R284" s="34">
        <v>452</v>
      </c>
      <c r="S284" s="32">
        <v>46112</v>
      </c>
      <c r="T284" s="34">
        <v>14</v>
      </c>
      <c r="U284" s="34">
        <v>2</v>
      </c>
      <c r="V284" s="34">
        <f t="shared" si="4"/>
        <v>0</v>
      </c>
    </row>
    <row r="285" spans="1:22" s="1" customFormat="1" x14ac:dyDescent="0.25">
      <c r="A285" s="33">
        <v>46112</v>
      </c>
      <c r="B285" s="9" t="s">
        <v>30</v>
      </c>
      <c r="C285" s="9" t="s">
        <v>40</v>
      </c>
      <c r="D285" s="35" t="s">
        <v>298</v>
      </c>
      <c r="E285" s="9" t="s">
        <v>299</v>
      </c>
      <c r="F285" s="35" t="s">
        <v>310</v>
      </c>
      <c r="G285" s="9" t="s">
        <v>55</v>
      </c>
      <c r="H285" s="9" t="s">
        <v>50</v>
      </c>
      <c r="I285" s="35">
        <v>1</v>
      </c>
      <c r="J285" s="9" t="s">
        <v>57</v>
      </c>
      <c r="K285" s="9">
        <v>16</v>
      </c>
      <c r="L285" s="38">
        <v>45</v>
      </c>
      <c r="M285" s="38">
        <v>720</v>
      </c>
      <c r="N285" s="9">
        <v>12</v>
      </c>
      <c r="O285" s="9" t="s">
        <v>85</v>
      </c>
      <c r="P285" s="35">
        <v>16</v>
      </c>
      <c r="Q285" s="43"/>
      <c r="R285" s="35">
        <v>440</v>
      </c>
      <c r="S285" s="33">
        <v>46112</v>
      </c>
      <c r="T285" s="35">
        <v>12</v>
      </c>
      <c r="U285" s="35">
        <v>0</v>
      </c>
      <c r="V285" s="35">
        <f t="shared" si="4"/>
        <v>0</v>
      </c>
    </row>
    <row r="286" spans="1:22" s="4" customFormat="1" x14ac:dyDescent="0.25">
      <c r="A286" s="32">
        <v>46112</v>
      </c>
      <c r="B286" s="7" t="s">
        <v>30</v>
      </c>
      <c r="C286" s="7" t="s">
        <v>40</v>
      </c>
      <c r="D286" s="34" t="s">
        <v>298</v>
      </c>
      <c r="E286" s="7" t="s">
        <v>299</v>
      </c>
      <c r="F286" s="34" t="s">
        <v>302</v>
      </c>
      <c r="G286" s="7" t="s">
        <v>301</v>
      </c>
      <c r="H286" s="7" t="s">
        <v>51</v>
      </c>
      <c r="I286" s="34">
        <v>2</v>
      </c>
      <c r="J286" s="7" t="s">
        <v>311</v>
      </c>
      <c r="K286" s="7">
        <v>9</v>
      </c>
      <c r="L286" s="37">
        <v>60</v>
      </c>
      <c r="M286" s="37">
        <v>540</v>
      </c>
      <c r="N286" s="7">
        <v>9</v>
      </c>
      <c r="O286" s="7" t="s">
        <v>85</v>
      </c>
      <c r="P286" s="34">
        <v>9</v>
      </c>
      <c r="Q286" s="44"/>
      <c r="R286" s="34">
        <v>431</v>
      </c>
      <c r="S286" s="32">
        <v>46113</v>
      </c>
      <c r="T286" s="34">
        <v>10</v>
      </c>
      <c r="U286" s="34">
        <v>1</v>
      </c>
      <c r="V286" s="34">
        <f t="shared" si="4"/>
        <v>0</v>
      </c>
    </row>
    <row r="287" spans="1:22" s="1" customFormat="1" x14ac:dyDescent="0.25">
      <c r="A287" s="33">
        <v>46112</v>
      </c>
      <c r="B287" s="9" t="s">
        <v>30</v>
      </c>
      <c r="C287" s="9" t="s">
        <v>40</v>
      </c>
      <c r="D287" s="35" t="s">
        <v>298</v>
      </c>
      <c r="E287" s="9" t="s">
        <v>299</v>
      </c>
      <c r="F287" s="35" t="s">
        <v>304</v>
      </c>
      <c r="G287" s="9" t="s">
        <v>301</v>
      </c>
      <c r="H287" s="9" t="s">
        <v>48</v>
      </c>
      <c r="I287" s="35">
        <v>2</v>
      </c>
      <c r="J287" s="9" t="s">
        <v>311</v>
      </c>
      <c r="K287" s="9">
        <v>10</v>
      </c>
      <c r="L287" s="38">
        <v>60</v>
      </c>
      <c r="M287" s="38">
        <v>600</v>
      </c>
      <c r="N287" s="9">
        <v>10</v>
      </c>
      <c r="O287" s="9" t="s">
        <v>85</v>
      </c>
      <c r="P287" s="35">
        <v>10</v>
      </c>
      <c r="Q287" s="43"/>
      <c r="R287" s="35">
        <v>421</v>
      </c>
      <c r="S287" s="33">
        <v>46112</v>
      </c>
      <c r="T287" s="35">
        <v>12</v>
      </c>
      <c r="U287" s="35">
        <v>2</v>
      </c>
      <c r="V287" s="35">
        <f t="shared" si="4"/>
        <v>0</v>
      </c>
    </row>
    <row r="288" spans="1:22" s="4" customFormat="1" x14ac:dyDescent="0.25">
      <c r="A288" s="32">
        <v>46112</v>
      </c>
      <c r="B288" s="7" t="s">
        <v>30</v>
      </c>
      <c r="C288" s="7" t="s">
        <v>40</v>
      </c>
      <c r="D288" s="34" t="s">
        <v>298</v>
      </c>
      <c r="E288" s="7" t="s">
        <v>299</v>
      </c>
      <c r="F288" s="34" t="s">
        <v>305</v>
      </c>
      <c r="G288" s="7" t="s">
        <v>301</v>
      </c>
      <c r="H288" s="7" t="s">
        <v>49</v>
      </c>
      <c r="I288" s="34">
        <v>2</v>
      </c>
      <c r="J288" s="7" t="s">
        <v>311</v>
      </c>
      <c r="K288" s="7">
        <v>4</v>
      </c>
      <c r="L288" s="37">
        <v>60</v>
      </c>
      <c r="M288" s="37">
        <v>240</v>
      </c>
      <c r="N288" s="7">
        <v>4</v>
      </c>
      <c r="O288" s="7" t="s">
        <v>85</v>
      </c>
      <c r="P288" s="34">
        <v>4</v>
      </c>
      <c r="Q288" s="44"/>
      <c r="R288" s="34">
        <v>417</v>
      </c>
      <c r="S288" s="32">
        <v>46112</v>
      </c>
      <c r="T288" s="34">
        <v>5</v>
      </c>
      <c r="U288" s="34">
        <v>1</v>
      </c>
      <c r="V288" s="34">
        <f t="shared" si="4"/>
        <v>0</v>
      </c>
    </row>
    <row r="289" spans="1:22" s="1" customFormat="1" x14ac:dyDescent="0.25">
      <c r="A289" s="33">
        <v>46112</v>
      </c>
      <c r="B289" s="9" t="s">
        <v>30</v>
      </c>
      <c r="C289" s="9" t="s">
        <v>40</v>
      </c>
      <c r="D289" s="35" t="s">
        <v>298</v>
      </c>
      <c r="E289" s="9" t="s">
        <v>299</v>
      </c>
      <c r="F289" s="35" t="s">
        <v>306</v>
      </c>
      <c r="G289" s="9" t="s">
        <v>301</v>
      </c>
      <c r="H289" s="9" t="s">
        <v>50</v>
      </c>
      <c r="I289" s="35">
        <v>2</v>
      </c>
      <c r="J289" s="9" t="s">
        <v>311</v>
      </c>
      <c r="K289" s="9">
        <v>4</v>
      </c>
      <c r="L289" s="38">
        <v>60</v>
      </c>
      <c r="M289" s="38">
        <v>240</v>
      </c>
      <c r="N289" s="9">
        <v>4</v>
      </c>
      <c r="O289" s="9" t="s">
        <v>85</v>
      </c>
      <c r="P289" s="35">
        <v>4</v>
      </c>
      <c r="Q289" s="43"/>
      <c r="R289" s="35">
        <v>413</v>
      </c>
      <c r="S289" s="33">
        <v>46112</v>
      </c>
      <c r="T289" s="35">
        <v>4</v>
      </c>
      <c r="U289" s="35">
        <v>0</v>
      </c>
      <c r="V289" s="35">
        <f t="shared" si="4"/>
        <v>0</v>
      </c>
    </row>
    <row r="290" spans="1:22" s="4" customFormat="1" x14ac:dyDescent="0.25">
      <c r="A290" s="32">
        <v>46113</v>
      </c>
      <c r="B290" s="7" t="s">
        <v>27</v>
      </c>
      <c r="C290" s="7" t="s">
        <v>36</v>
      </c>
      <c r="D290" s="34" t="s">
        <v>298</v>
      </c>
      <c r="E290" s="7" t="s">
        <v>299</v>
      </c>
      <c r="F290" s="34" t="s">
        <v>302</v>
      </c>
      <c r="G290" s="7" t="s">
        <v>301</v>
      </c>
      <c r="H290" s="7" t="s">
        <v>51</v>
      </c>
      <c r="I290" s="34">
        <v>3</v>
      </c>
      <c r="J290" s="7" t="s">
        <v>312</v>
      </c>
      <c r="K290" s="7">
        <v>9</v>
      </c>
      <c r="L290" s="37">
        <v>45</v>
      </c>
      <c r="M290" s="37">
        <v>405</v>
      </c>
      <c r="N290" s="7">
        <v>6.75</v>
      </c>
      <c r="O290" s="7" t="s">
        <v>85</v>
      </c>
      <c r="P290" s="34">
        <v>9</v>
      </c>
      <c r="Q290" s="44"/>
      <c r="R290" s="34">
        <v>521.25</v>
      </c>
      <c r="S290" s="32">
        <v>46113</v>
      </c>
      <c r="T290" s="34">
        <v>7</v>
      </c>
      <c r="U290" s="34">
        <v>0.25</v>
      </c>
      <c r="V290" s="34">
        <f t="shared" si="4"/>
        <v>0</v>
      </c>
    </row>
    <row r="291" spans="1:22" s="1" customFormat="1" x14ac:dyDescent="0.25">
      <c r="A291" s="33">
        <v>46113</v>
      </c>
      <c r="B291" s="9" t="s">
        <v>27</v>
      </c>
      <c r="C291" s="9" t="s">
        <v>36</v>
      </c>
      <c r="D291" s="35" t="s">
        <v>298</v>
      </c>
      <c r="E291" s="9" t="s">
        <v>299</v>
      </c>
      <c r="F291" s="35" t="s">
        <v>304</v>
      </c>
      <c r="G291" s="9" t="s">
        <v>301</v>
      </c>
      <c r="H291" s="9" t="s">
        <v>48</v>
      </c>
      <c r="I291" s="35">
        <v>3</v>
      </c>
      <c r="J291" s="9" t="s">
        <v>312</v>
      </c>
      <c r="K291" s="9">
        <v>10</v>
      </c>
      <c r="L291" s="38">
        <v>45</v>
      </c>
      <c r="M291" s="38">
        <v>450</v>
      </c>
      <c r="N291" s="9">
        <v>7.5</v>
      </c>
      <c r="O291" s="9" t="s">
        <v>85</v>
      </c>
      <c r="P291" s="35">
        <v>10</v>
      </c>
      <c r="Q291" s="43"/>
      <c r="R291" s="35">
        <v>514.5</v>
      </c>
      <c r="S291" s="33">
        <v>46113</v>
      </c>
      <c r="T291" s="35">
        <v>8</v>
      </c>
      <c r="U291" s="35">
        <v>0.5</v>
      </c>
      <c r="V291" s="35">
        <f t="shared" si="4"/>
        <v>0</v>
      </c>
    </row>
    <row r="292" spans="1:22" s="4" customFormat="1" x14ac:dyDescent="0.25">
      <c r="A292" s="32">
        <v>46111</v>
      </c>
      <c r="B292" s="7" t="s">
        <v>29</v>
      </c>
      <c r="C292" s="7" t="s">
        <v>38</v>
      </c>
      <c r="D292" s="34" t="s">
        <v>326</v>
      </c>
      <c r="E292" s="7" t="s">
        <v>272</v>
      </c>
      <c r="F292" s="34" t="s">
        <v>276</v>
      </c>
      <c r="G292" s="7" t="s">
        <v>275</v>
      </c>
      <c r="H292" s="7" t="s">
        <v>152</v>
      </c>
      <c r="I292" s="34">
        <v>9</v>
      </c>
      <c r="J292" s="7" t="s">
        <v>293</v>
      </c>
      <c r="K292" s="7">
        <v>47</v>
      </c>
      <c r="L292" s="37">
        <v>180</v>
      </c>
      <c r="M292" s="37">
        <v>8460</v>
      </c>
      <c r="N292" s="7">
        <v>141</v>
      </c>
      <c r="O292" s="7" t="s">
        <v>85</v>
      </c>
      <c r="P292" s="34">
        <v>47</v>
      </c>
      <c r="Q292" s="44"/>
      <c r="R292" s="34">
        <v>387</v>
      </c>
      <c r="S292" s="32">
        <v>46111</v>
      </c>
      <c r="T292" s="34">
        <v>180</v>
      </c>
      <c r="U292" s="34">
        <v>39</v>
      </c>
      <c r="V292" s="34">
        <f t="shared" si="4"/>
        <v>0</v>
      </c>
    </row>
    <row r="293" spans="1:22" s="1" customFormat="1" x14ac:dyDescent="0.25">
      <c r="A293" s="33">
        <v>46111</v>
      </c>
      <c r="B293" s="9" t="s">
        <v>29</v>
      </c>
      <c r="C293" s="9" t="s">
        <v>38</v>
      </c>
      <c r="D293" s="35" t="s">
        <v>326</v>
      </c>
      <c r="E293" s="9" t="s">
        <v>272</v>
      </c>
      <c r="F293" s="35" t="s">
        <v>276</v>
      </c>
      <c r="G293" s="9" t="s">
        <v>275</v>
      </c>
      <c r="H293" s="9" t="s">
        <v>152</v>
      </c>
      <c r="I293" s="35">
        <v>11</v>
      </c>
      <c r="J293" s="9" t="s">
        <v>144</v>
      </c>
      <c r="K293" s="9">
        <v>47</v>
      </c>
      <c r="L293" s="38">
        <v>40</v>
      </c>
      <c r="M293" s="38">
        <v>1880</v>
      </c>
      <c r="N293" s="9">
        <v>31.333333333333332</v>
      </c>
      <c r="O293" s="9" t="s">
        <v>85</v>
      </c>
      <c r="P293" s="35">
        <v>47</v>
      </c>
      <c r="Q293" s="43"/>
      <c r="R293" s="35">
        <v>355.66666666666669</v>
      </c>
      <c r="S293" s="33">
        <v>46111</v>
      </c>
      <c r="T293" s="35">
        <v>35</v>
      </c>
      <c r="U293" s="35">
        <v>3.6666666666666679</v>
      </c>
      <c r="V293" s="35">
        <f t="shared" si="4"/>
        <v>0</v>
      </c>
    </row>
    <row r="294" spans="1:22" s="4" customFormat="1" x14ac:dyDescent="0.25">
      <c r="A294" s="32">
        <v>46111</v>
      </c>
      <c r="B294" s="7" t="s">
        <v>29</v>
      </c>
      <c r="C294" s="7" t="s">
        <v>38</v>
      </c>
      <c r="D294" s="34" t="s">
        <v>326</v>
      </c>
      <c r="E294" s="7" t="s">
        <v>272</v>
      </c>
      <c r="F294" s="34" t="s">
        <v>277</v>
      </c>
      <c r="G294" s="7" t="s">
        <v>275</v>
      </c>
      <c r="H294" s="7" t="s">
        <v>51</v>
      </c>
      <c r="I294" s="34">
        <v>9</v>
      </c>
      <c r="J294" s="7" t="s">
        <v>293</v>
      </c>
      <c r="K294" s="7">
        <v>101</v>
      </c>
      <c r="L294" s="37">
        <v>180</v>
      </c>
      <c r="M294" s="37">
        <v>18180</v>
      </c>
      <c r="N294" s="7">
        <v>303</v>
      </c>
      <c r="O294" s="7" t="s">
        <v>85</v>
      </c>
      <c r="P294" s="34">
        <v>101</v>
      </c>
      <c r="Q294" s="44"/>
      <c r="R294" s="34">
        <v>225</v>
      </c>
      <c r="S294" s="32">
        <v>46111</v>
      </c>
      <c r="T294" s="34">
        <v>310</v>
      </c>
      <c r="U294" s="34">
        <v>7</v>
      </c>
      <c r="V294" s="34">
        <f t="shared" si="4"/>
        <v>0</v>
      </c>
    </row>
    <row r="295" spans="1:22" s="1" customFormat="1" x14ac:dyDescent="0.25">
      <c r="A295" s="33">
        <v>46111</v>
      </c>
      <c r="B295" s="9" t="s">
        <v>29</v>
      </c>
      <c r="C295" s="9" t="s">
        <v>38</v>
      </c>
      <c r="D295" s="35" t="s">
        <v>326</v>
      </c>
      <c r="E295" s="9" t="s">
        <v>272</v>
      </c>
      <c r="F295" s="35" t="s">
        <v>277</v>
      </c>
      <c r="G295" s="9" t="s">
        <v>275</v>
      </c>
      <c r="H295" s="9" t="s">
        <v>51</v>
      </c>
      <c r="I295" s="35">
        <v>11</v>
      </c>
      <c r="J295" s="9" t="s">
        <v>144</v>
      </c>
      <c r="K295" s="9">
        <v>101</v>
      </c>
      <c r="L295" s="38">
        <v>40</v>
      </c>
      <c r="M295" s="38">
        <v>4040</v>
      </c>
      <c r="N295" s="9">
        <v>67.333333333333329</v>
      </c>
      <c r="O295" s="9" t="s">
        <v>85</v>
      </c>
      <c r="P295" s="35">
        <v>101</v>
      </c>
      <c r="Q295" s="43"/>
      <c r="R295" s="35">
        <v>157.66666666666669</v>
      </c>
      <c r="S295" s="33">
        <v>46111</v>
      </c>
      <c r="T295" s="35">
        <v>70</v>
      </c>
      <c r="U295" s="35">
        <v>2.6666666666666714</v>
      </c>
      <c r="V295" s="35">
        <f t="shared" si="4"/>
        <v>0</v>
      </c>
    </row>
    <row r="296" spans="1:22" s="4" customFormat="1" x14ac:dyDescent="0.25">
      <c r="A296" s="32">
        <v>46111</v>
      </c>
      <c r="B296" s="7" t="s">
        <v>27</v>
      </c>
      <c r="C296" s="7" t="s">
        <v>36</v>
      </c>
      <c r="D296" s="34" t="s">
        <v>326</v>
      </c>
      <c r="E296" s="7" t="s">
        <v>272</v>
      </c>
      <c r="F296" s="34" t="s">
        <v>278</v>
      </c>
      <c r="G296" s="7" t="s">
        <v>275</v>
      </c>
      <c r="H296" s="7" t="s">
        <v>48</v>
      </c>
      <c r="I296" s="34">
        <v>9</v>
      </c>
      <c r="J296" s="7" t="s">
        <v>293</v>
      </c>
      <c r="K296" s="7">
        <v>47</v>
      </c>
      <c r="L296" s="37">
        <v>180</v>
      </c>
      <c r="M296" s="37">
        <v>8460</v>
      </c>
      <c r="N296" s="7">
        <v>141</v>
      </c>
      <c r="O296" s="7" t="s">
        <v>85</v>
      </c>
      <c r="P296" s="34">
        <v>47</v>
      </c>
      <c r="Q296" s="44"/>
      <c r="R296" s="34">
        <v>380</v>
      </c>
      <c r="S296" s="32">
        <v>46112</v>
      </c>
      <c r="T296" s="34">
        <v>150</v>
      </c>
      <c r="U296" s="34">
        <v>9</v>
      </c>
      <c r="V296" s="34">
        <f t="shared" si="4"/>
        <v>0</v>
      </c>
    </row>
    <row r="297" spans="1:22" s="1" customFormat="1" x14ac:dyDescent="0.25">
      <c r="A297" s="33">
        <v>46111</v>
      </c>
      <c r="B297" s="9" t="s">
        <v>29</v>
      </c>
      <c r="C297" s="9" t="s">
        <v>38</v>
      </c>
      <c r="D297" s="35" t="s">
        <v>326</v>
      </c>
      <c r="E297" s="9" t="s">
        <v>272</v>
      </c>
      <c r="F297" s="35" t="s">
        <v>278</v>
      </c>
      <c r="G297" s="9" t="s">
        <v>275</v>
      </c>
      <c r="H297" s="9" t="s">
        <v>48</v>
      </c>
      <c r="I297" s="35">
        <v>9</v>
      </c>
      <c r="J297" s="9" t="s">
        <v>293</v>
      </c>
      <c r="K297" s="9">
        <v>47</v>
      </c>
      <c r="L297" s="38">
        <v>180</v>
      </c>
      <c r="M297" s="38">
        <v>8460</v>
      </c>
      <c r="N297" s="9">
        <v>141</v>
      </c>
      <c r="O297" s="9" t="s">
        <v>85</v>
      </c>
      <c r="P297" s="35">
        <v>47</v>
      </c>
      <c r="Q297" s="43"/>
      <c r="R297" s="35">
        <v>393</v>
      </c>
      <c r="S297" s="33">
        <v>46112</v>
      </c>
      <c r="T297" s="35">
        <v>150</v>
      </c>
      <c r="U297" s="35">
        <v>9</v>
      </c>
      <c r="V297" s="35">
        <f t="shared" si="4"/>
        <v>0</v>
      </c>
    </row>
    <row r="298" spans="1:22" s="4" customFormat="1" x14ac:dyDescent="0.25">
      <c r="A298" s="32">
        <v>46111</v>
      </c>
      <c r="B298" s="7" t="s">
        <v>122</v>
      </c>
      <c r="C298" s="7" t="s">
        <v>212</v>
      </c>
      <c r="D298" s="34" t="s">
        <v>326</v>
      </c>
      <c r="E298" s="7" t="s">
        <v>272</v>
      </c>
      <c r="F298" s="34" t="s">
        <v>278</v>
      </c>
      <c r="G298" s="7" t="s">
        <v>275</v>
      </c>
      <c r="H298" s="7" t="s">
        <v>48</v>
      </c>
      <c r="I298" s="34">
        <v>10</v>
      </c>
      <c r="J298" s="7" t="s">
        <v>295</v>
      </c>
      <c r="K298" s="7">
        <v>94</v>
      </c>
      <c r="L298" s="37">
        <v>30</v>
      </c>
      <c r="M298" s="37">
        <v>2820</v>
      </c>
      <c r="N298" s="7">
        <v>47</v>
      </c>
      <c r="O298" s="7" t="s">
        <v>85</v>
      </c>
      <c r="P298" s="34">
        <v>94</v>
      </c>
      <c r="Q298" s="44"/>
      <c r="R298" s="34">
        <v>481</v>
      </c>
      <c r="S298" s="32">
        <v>46111</v>
      </c>
      <c r="T298" s="34">
        <v>50</v>
      </c>
      <c r="U298" s="34">
        <v>3</v>
      </c>
      <c r="V298" s="34">
        <f t="shared" si="4"/>
        <v>0</v>
      </c>
    </row>
    <row r="299" spans="1:22" s="1" customFormat="1" x14ac:dyDescent="0.25">
      <c r="A299" s="33">
        <v>46111</v>
      </c>
      <c r="B299" s="9" t="s">
        <v>122</v>
      </c>
      <c r="C299" s="9" t="s">
        <v>212</v>
      </c>
      <c r="D299" s="35" t="s">
        <v>326</v>
      </c>
      <c r="E299" s="9" t="s">
        <v>272</v>
      </c>
      <c r="F299" s="35" t="s">
        <v>278</v>
      </c>
      <c r="G299" s="9" t="s">
        <v>275</v>
      </c>
      <c r="H299" s="9" t="s">
        <v>48</v>
      </c>
      <c r="I299" s="35">
        <v>11</v>
      </c>
      <c r="J299" s="9" t="s">
        <v>144</v>
      </c>
      <c r="K299" s="9">
        <v>94</v>
      </c>
      <c r="L299" s="38">
        <v>40</v>
      </c>
      <c r="M299" s="38">
        <v>3760</v>
      </c>
      <c r="N299" s="9">
        <v>62.666666666666664</v>
      </c>
      <c r="O299" s="9" t="s">
        <v>85</v>
      </c>
      <c r="P299" s="35">
        <v>94</v>
      </c>
      <c r="Q299" s="43"/>
      <c r="R299" s="35">
        <v>418.33333333333331</v>
      </c>
      <c r="S299" s="33">
        <v>46111</v>
      </c>
      <c r="T299" s="35">
        <v>65</v>
      </c>
      <c r="U299" s="35">
        <v>2.3333333333333357</v>
      </c>
      <c r="V299" s="35">
        <f t="shared" si="4"/>
        <v>0</v>
      </c>
    </row>
    <row r="300" spans="1:22" s="4" customFormat="1" x14ac:dyDescent="0.25">
      <c r="A300" s="32">
        <v>46111</v>
      </c>
      <c r="B300" s="7" t="s">
        <v>30</v>
      </c>
      <c r="C300" s="7" t="s">
        <v>40</v>
      </c>
      <c r="D300" s="34" t="s">
        <v>326</v>
      </c>
      <c r="E300" s="7" t="s">
        <v>272</v>
      </c>
      <c r="F300" s="34" t="s">
        <v>279</v>
      </c>
      <c r="G300" s="7" t="s">
        <v>275</v>
      </c>
      <c r="H300" s="7" t="s">
        <v>49</v>
      </c>
      <c r="I300" s="34">
        <v>8</v>
      </c>
      <c r="J300" s="7" t="s">
        <v>291</v>
      </c>
      <c r="K300" s="7">
        <v>20</v>
      </c>
      <c r="L300" s="37">
        <v>90</v>
      </c>
      <c r="M300" s="37">
        <v>1800</v>
      </c>
      <c r="N300" s="7">
        <v>30</v>
      </c>
      <c r="O300" s="7" t="s">
        <v>85</v>
      </c>
      <c r="P300" s="34">
        <v>20</v>
      </c>
      <c r="Q300" s="44"/>
      <c r="R300" s="34">
        <v>383</v>
      </c>
      <c r="S300" s="32">
        <v>46111</v>
      </c>
      <c r="T300" s="34">
        <v>40</v>
      </c>
      <c r="U300" s="34">
        <v>10</v>
      </c>
      <c r="V300" s="34">
        <f t="shared" si="4"/>
        <v>0</v>
      </c>
    </row>
    <row r="301" spans="1:22" s="1" customFormat="1" x14ac:dyDescent="0.25">
      <c r="A301" s="33">
        <v>46111</v>
      </c>
      <c r="B301" s="9" t="s">
        <v>27</v>
      </c>
      <c r="C301" s="9" t="s">
        <v>36</v>
      </c>
      <c r="D301" s="35" t="s">
        <v>326</v>
      </c>
      <c r="E301" s="9" t="s">
        <v>272</v>
      </c>
      <c r="F301" s="35" t="s">
        <v>279</v>
      </c>
      <c r="G301" s="9" t="s">
        <v>275</v>
      </c>
      <c r="H301" s="9" t="s">
        <v>49</v>
      </c>
      <c r="I301" s="35">
        <v>8</v>
      </c>
      <c r="J301" s="9" t="s">
        <v>291</v>
      </c>
      <c r="K301" s="9">
        <v>27</v>
      </c>
      <c r="L301" s="38">
        <v>90</v>
      </c>
      <c r="M301" s="38">
        <v>2430</v>
      </c>
      <c r="N301" s="9">
        <v>40.5</v>
      </c>
      <c r="O301" s="9" t="s">
        <v>85</v>
      </c>
      <c r="P301" s="35">
        <v>27</v>
      </c>
      <c r="Q301" s="43"/>
      <c r="R301" s="35">
        <v>474.5</v>
      </c>
      <c r="S301" s="33">
        <v>46111</v>
      </c>
      <c r="T301" s="35">
        <v>45</v>
      </c>
      <c r="U301" s="35">
        <v>4.5</v>
      </c>
      <c r="V301" s="35">
        <f t="shared" si="4"/>
        <v>0</v>
      </c>
    </row>
    <row r="302" spans="1:22" s="4" customFormat="1" x14ac:dyDescent="0.25">
      <c r="A302" s="32">
        <v>46111</v>
      </c>
      <c r="B302" s="7" t="s">
        <v>27</v>
      </c>
      <c r="C302" s="7" t="s">
        <v>36</v>
      </c>
      <c r="D302" s="34" t="s">
        <v>326</v>
      </c>
      <c r="E302" s="7" t="s">
        <v>272</v>
      </c>
      <c r="F302" s="34" t="s">
        <v>279</v>
      </c>
      <c r="G302" s="7" t="s">
        <v>275</v>
      </c>
      <c r="H302" s="7" t="s">
        <v>49</v>
      </c>
      <c r="I302" s="34">
        <v>9</v>
      </c>
      <c r="J302" s="7" t="s">
        <v>293</v>
      </c>
      <c r="K302" s="7">
        <v>47</v>
      </c>
      <c r="L302" s="37">
        <v>180</v>
      </c>
      <c r="M302" s="37">
        <v>8460</v>
      </c>
      <c r="N302" s="7">
        <v>141</v>
      </c>
      <c r="O302" s="7" t="s">
        <v>85</v>
      </c>
      <c r="P302" s="34">
        <v>47</v>
      </c>
      <c r="Q302" s="44"/>
      <c r="R302" s="34">
        <v>334</v>
      </c>
      <c r="S302" s="32">
        <v>46111</v>
      </c>
      <c r="T302" s="34">
        <v>145</v>
      </c>
      <c r="U302" s="34">
        <v>4</v>
      </c>
      <c r="V302" s="34">
        <f t="shared" si="4"/>
        <v>0</v>
      </c>
    </row>
    <row r="303" spans="1:22" s="1" customFormat="1" x14ac:dyDescent="0.25">
      <c r="A303" s="33">
        <v>46111</v>
      </c>
      <c r="B303" s="9" t="s">
        <v>122</v>
      </c>
      <c r="C303" s="9" t="s">
        <v>212</v>
      </c>
      <c r="D303" s="35" t="s">
        <v>326</v>
      </c>
      <c r="E303" s="9" t="s">
        <v>272</v>
      </c>
      <c r="F303" s="35" t="s">
        <v>279</v>
      </c>
      <c r="G303" s="9" t="s">
        <v>275</v>
      </c>
      <c r="H303" s="9" t="s">
        <v>49</v>
      </c>
      <c r="I303" s="35">
        <v>10</v>
      </c>
      <c r="J303" s="9" t="s">
        <v>295</v>
      </c>
      <c r="K303" s="9">
        <v>47</v>
      </c>
      <c r="L303" s="38">
        <v>30</v>
      </c>
      <c r="M303" s="38">
        <v>1410</v>
      </c>
      <c r="N303" s="9">
        <v>23.5</v>
      </c>
      <c r="O303" s="9" t="s">
        <v>85</v>
      </c>
      <c r="P303" s="35">
        <v>47</v>
      </c>
      <c r="Q303" s="43"/>
      <c r="R303" s="35">
        <v>395.5</v>
      </c>
      <c r="S303" s="33">
        <v>46111</v>
      </c>
      <c r="T303" s="35">
        <v>30</v>
      </c>
      <c r="U303" s="35">
        <v>6.5</v>
      </c>
      <c r="V303" s="35">
        <f t="shared" si="4"/>
        <v>0</v>
      </c>
    </row>
    <row r="304" spans="1:22" s="4" customFormat="1" x14ac:dyDescent="0.25">
      <c r="A304" s="32">
        <v>46111</v>
      </c>
      <c r="B304" s="7" t="s">
        <v>122</v>
      </c>
      <c r="C304" s="7" t="s">
        <v>212</v>
      </c>
      <c r="D304" s="34" t="s">
        <v>326</v>
      </c>
      <c r="E304" s="7" t="s">
        <v>272</v>
      </c>
      <c r="F304" s="34" t="s">
        <v>279</v>
      </c>
      <c r="G304" s="7" t="s">
        <v>275</v>
      </c>
      <c r="H304" s="7" t="s">
        <v>49</v>
      </c>
      <c r="I304" s="34">
        <v>11</v>
      </c>
      <c r="J304" s="7" t="s">
        <v>144</v>
      </c>
      <c r="K304" s="7">
        <v>47</v>
      </c>
      <c r="L304" s="37">
        <v>40</v>
      </c>
      <c r="M304" s="37">
        <v>1880</v>
      </c>
      <c r="N304" s="7">
        <v>31.333333333333332</v>
      </c>
      <c r="O304" s="7" t="s">
        <v>85</v>
      </c>
      <c r="P304" s="34">
        <v>47</v>
      </c>
      <c r="Q304" s="44"/>
      <c r="R304" s="34">
        <v>364.66666666666669</v>
      </c>
      <c r="S304" s="32">
        <v>46111</v>
      </c>
      <c r="T304" s="34">
        <v>35</v>
      </c>
      <c r="U304" s="34">
        <v>3.6666666666666679</v>
      </c>
      <c r="V304" s="34">
        <f t="shared" si="4"/>
        <v>0</v>
      </c>
    </row>
    <row r="305" spans="1:22" s="1" customFormat="1" x14ac:dyDescent="0.25">
      <c r="A305" s="33">
        <v>46112</v>
      </c>
      <c r="B305" s="9" t="s">
        <v>30</v>
      </c>
      <c r="C305" s="9" t="s">
        <v>40</v>
      </c>
      <c r="D305" s="35" t="s">
        <v>298</v>
      </c>
      <c r="E305" s="9" t="s">
        <v>299</v>
      </c>
      <c r="F305" s="35" t="s">
        <v>308</v>
      </c>
      <c r="G305" s="9" t="s">
        <v>55</v>
      </c>
      <c r="H305" s="9" t="s">
        <v>48</v>
      </c>
      <c r="I305" s="35">
        <v>2</v>
      </c>
      <c r="J305" s="9" t="s">
        <v>311</v>
      </c>
      <c r="K305" s="9">
        <v>31</v>
      </c>
      <c r="L305" s="38">
        <v>60</v>
      </c>
      <c r="M305" s="38">
        <v>1860</v>
      </c>
      <c r="N305" s="9">
        <v>31</v>
      </c>
      <c r="O305" s="9" t="s">
        <v>85</v>
      </c>
      <c r="P305" s="35">
        <v>31</v>
      </c>
      <c r="Q305" s="43"/>
      <c r="R305" s="35">
        <v>497</v>
      </c>
      <c r="S305" s="33">
        <v>46113</v>
      </c>
      <c r="T305" s="35">
        <v>35</v>
      </c>
      <c r="U305" s="35">
        <v>4</v>
      </c>
      <c r="V305" s="35">
        <f t="shared" si="4"/>
        <v>0</v>
      </c>
    </row>
    <row r="306" spans="1:22" s="4" customFormat="1" x14ac:dyDescent="0.25">
      <c r="A306" s="32">
        <v>46112</v>
      </c>
      <c r="B306" s="7" t="s">
        <v>30</v>
      </c>
      <c r="C306" s="7" t="s">
        <v>40</v>
      </c>
      <c r="D306" s="34" t="s">
        <v>298</v>
      </c>
      <c r="E306" s="7" t="s">
        <v>299</v>
      </c>
      <c r="F306" s="34" t="s">
        <v>309</v>
      </c>
      <c r="G306" s="7" t="s">
        <v>55</v>
      </c>
      <c r="H306" s="7" t="s">
        <v>49</v>
      </c>
      <c r="I306" s="34">
        <v>2</v>
      </c>
      <c r="J306" s="7" t="s">
        <v>311</v>
      </c>
      <c r="K306" s="7">
        <v>16</v>
      </c>
      <c r="L306" s="37">
        <v>60</v>
      </c>
      <c r="M306" s="37">
        <v>960</v>
      </c>
      <c r="N306" s="7">
        <v>16</v>
      </c>
      <c r="O306" s="7" t="s">
        <v>85</v>
      </c>
      <c r="P306" s="34">
        <v>16</v>
      </c>
      <c r="Q306" s="44"/>
      <c r="R306" s="34">
        <v>481</v>
      </c>
      <c r="S306" s="32">
        <v>46112</v>
      </c>
      <c r="T306" s="34">
        <v>17</v>
      </c>
      <c r="U306" s="34">
        <v>1</v>
      </c>
      <c r="V306" s="34">
        <f t="shared" si="4"/>
        <v>0</v>
      </c>
    </row>
    <row r="307" spans="1:22" s="1" customFormat="1" x14ac:dyDescent="0.25">
      <c r="A307" s="33">
        <v>46112</v>
      </c>
      <c r="B307" s="9" t="s">
        <v>30</v>
      </c>
      <c r="C307" s="9" t="s">
        <v>40</v>
      </c>
      <c r="D307" s="35" t="s">
        <v>298</v>
      </c>
      <c r="E307" s="9" t="s">
        <v>299</v>
      </c>
      <c r="F307" s="35" t="s">
        <v>310</v>
      </c>
      <c r="G307" s="9" t="s">
        <v>55</v>
      </c>
      <c r="H307" s="9" t="s">
        <v>50</v>
      </c>
      <c r="I307" s="35">
        <v>2</v>
      </c>
      <c r="J307" s="9" t="s">
        <v>311</v>
      </c>
      <c r="K307" s="9">
        <v>16</v>
      </c>
      <c r="L307" s="38">
        <v>60</v>
      </c>
      <c r="M307" s="38">
        <v>960</v>
      </c>
      <c r="N307" s="9">
        <v>16</v>
      </c>
      <c r="O307" s="9" t="s">
        <v>85</v>
      </c>
      <c r="P307" s="35">
        <v>16</v>
      </c>
      <c r="Q307" s="43"/>
      <c r="R307" s="35">
        <v>465</v>
      </c>
      <c r="S307" s="33">
        <v>46112</v>
      </c>
      <c r="T307" s="35">
        <v>16</v>
      </c>
      <c r="U307" s="35">
        <v>0</v>
      </c>
      <c r="V307" s="35">
        <f t="shared" si="4"/>
        <v>0</v>
      </c>
    </row>
    <row r="308" spans="1:22" s="4" customFormat="1" x14ac:dyDescent="0.25">
      <c r="A308" s="32">
        <v>46112</v>
      </c>
      <c r="B308" s="7" t="s">
        <v>30</v>
      </c>
      <c r="C308" s="7" t="s">
        <v>40</v>
      </c>
      <c r="D308" s="34" t="s">
        <v>298</v>
      </c>
      <c r="E308" s="7" t="s">
        <v>299</v>
      </c>
      <c r="F308" s="34" t="s">
        <v>307</v>
      </c>
      <c r="G308" s="7" t="s">
        <v>55</v>
      </c>
      <c r="H308" s="7" t="s">
        <v>51</v>
      </c>
      <c r="I308" s="34">
        <v>2</v>
      </c>
      <c r="J308" s="7" t="s">
        <v>311</v>
      </c>
      <c r="K308" s="7">
        <v>30</v>
      </c>
      <c r="L308" s="37">
        <v>60</v>
      </c>
      <c r="M308" s="37">
        <v>1800</v>
      </c>
      <c r="N308" s="7">
        <v>30</v>
      </c>
      <c r="O308" s="7" t="s">
        <v>85</v>
      </c>
      <c r="P308" s="34">
        <v>30</v>
      </c>
      <c r="Q308" s="44"/>
      <c r="R308" s="34">
        <v>435</v>
      </c>
      <c r="S308" s="32">
        <v>46112</v>
      </c>
      <c r="T308" s="34">
        <v>35</v>
      </c>
      <c r="U308" s="34">
        <v>5</v>
      </c>
      <c r="V308" s="34">
        <f t="shared" si="4"/>
        <v>0</v>
      </c>
    </row>
    <row r="309" spans="1:22" s="1" customFormat="1" x14ac:dyDescent="0.25">
      <c r="A309" s="33">
        <v>46113</v>
      </c>
      <c r="B309" s="9" t="s">
        <v>27</v>
      </c>
      <c r="C309" s="9" t="s">
        <v>36</v>
      </c>
      <c r="D309" s="35" t="s">
        <v>298</v>
      </c>
      <c r="E309" s="9" t="s">
        <v>299</v>
      </c>
      <c r="F309" s="35" t="s">
        <v>305</v>
      </c>
      <c r="G309" s="9" t="s">
        <v>301</v>
      </c>
      <c r="H309" s="9" t="s">
        <v>49</v>
      </c>
      <c r="I309" s="35">
        <v>3</v>
      </c>
      <c r="J309" s="9" t="s">
        <v>312</v>
      </c>
      <c r="K309" s="9">
        <v>4</v>
      </c>
      <c r="L309" s="38">
        <v>45</v>
      </c>
      <c r="M309" s="38">
        <v>180</v>
      </c>
      <c r="N309" s="9">
        <v>3</v>
      </c>
      <c r="O309" s="9" t="s">
        <v>85</v>
      </c>
      <c r="P309" s="35">
        <v>4</v>
      </c>
      <c r="Q309" s="43"/>
      <c r="R309" s="35">
        <v>525</v>
      </c>
      <c r="S309" s="33">
        <v>46113</v>
      </c>
      <c r="T309" s="35">
        <v>4</v>
      </c>
      <c r="U309" s="35">
        <v>1</v>
      </c>
      <c r="V309" s="35">
        <f t="shared" si="4"/>
        <v>0</v>
      </c>
    </row>
    <row r="310" spans="1:22" s="4" customFormat="1" x14ac:dyDescent="0.25">
      <c r="A310" s="32">
        <v>46113</v>
      </c>
      <c r="B310" s="7" t="s">
        <v>27</v>
      </c>
      <c r="C310" s="7" t="s">
        <v>36</v>
      </c>
      <c r="D310" s="34" t="s">
        <v>298</v>
      </c>
      <c r="E310" s="7" t="s">
        <v>299</v>
      </c>
      <c r="F310" s="34" t="s">
        <v>306</v>
      </c>
      <c r="G310" s="7" t="s">
        <v>301</v>
      </c>
      <c r="H310" s="7" t="s">
        <v>50</v>
      </c>
      <c r="I310" s="34">
        <v>3</v>
      </c>
      <c r="J310" s="7" t="s">
        <v>312</v>
      </c>
      <c r="K310" s="7">
        <v>4</v>
      </c>
      <c r="L310" s="37">
        <v>45</v>
      </c>
      <c r="M310" s="37">
        <v>180</v>
      </c>
      <c r="N310" s="7">
        <v>3</v>
      </c>
      <c r="O310" s="7" t="s">
        <v>85</v>
      </c>
      <c r="P310" s="34">
        <v>4</v>
      </c>
      <c r="Q310" s="44"/>
      <c r="R310" s="34">
        <v>522</v>
      </c>
      <c r="S310" s="32">
        <v>46113</v>
      </c>
      <c r="T310" s="34">
        <v>3</v>
      </c>
      <c r="U310" s="34">
        <v>0</v>
      </c>
      <c r="V310" s="34">
        <f t="shared" si="4"/>
        <v>0</v>
      </c>
    </row>
    <row r="311" spans="1:22" s="1" customFormat="1" x14ac:dyDescent="0.25">
      <c r="A311" s="33">
        <v>46113</v>
      </c>
      <c r="B311" s="9" t="s">
        <v>27</v>
      </c>
      <c r="C311" s="9" t="s">
        <v>36</v>
      </c>
      <c r="D311" s="35" t="s">
        <v>298</v>
      </c>
      <c r="E311" s="9" t="s">
        <v>299</v>
      </c>
      <c r="F311" s="35" t="s">
        <v>302</v>
      </c>
      <c r="G311" s="9" t="s">
        <v>301</v>
      </c>
      <c r="H311" s="9" t="s">
        <v>51</v>
      </c>
      <c r="I311" s="35">
        <v>4</v>
      </c>
      <c r="J311" s="9" t="s">
        <v>313</v>
      </c>
      <c r="K311" s="9">
        <v>9</v>
      </c>
      <c r="L311" s="38">
        <v>90</v>
      </c>
      <c r="M311" s="38">
        <v>810</v>
      </c>
      <c r="N311" s="9">
        <v>13.5</v>
      </c>
      <c r="O311" s="9" t="s">
        <v>85</v>
      </c>
      <c r="P311" s="35">
        <v>9</v>
      </c>
      <c r="Q311" s="43"/>
      <c r="R311" s="35">
        <v>508.5</v>
      </c>
      <c r="S311" s="33">
        <v>46113</v>
      </c>
      <c r="T311" s="35">
        <v>14</v>
      </c>
      <c r="U311" s="35">
        <v>0.5</v>
      </c>
      <c r="V311" s="35">
        <f t="shared" si="4"/>
        <v>0</v>
      </c>
    </row>
    <row r="312" spans="1:22" s="4" customFormat="1" x14ac:dyDescent="0.25">
      <c r="A312" s="32">
        <v>46113</v>
      </c>
      <c r="B312" s="7" t="s">
        <v>27</v>
      </c>
      <c r="C312" s="7" t="s">
        <v>36</v>
      </c>
      <c r="D312" s="34" t="s">
        <v>298</v>
      </c>
      <c r="E312" s="7" t="s">
        <v>299</v>
      </c>
      <c r="F312" s="34" t="s">
        <v>304</v>
      </c>
      <c r="G312" s="7" t="s">
        <v>301</v>
      </c>
      <c r="H312" s="7" t="s">
        <v>48</v>
      </c>
      <c r="I312" s="34">
        <v>4</v>
      </c>
      <c r="J312" s="7" t="s">
        <v>313</v>
      </c>
      <c r="K312" s="7">
        <v>10</v>
      </c>
      <c r="L312" s="37">
        <v>90</v>
      </c>
      <c r="M312" s="37">
        <v>900</v>
      </c>
      <c r="N312" s="7">
        <v>15</v>
      </c>
      <c r="O312" s="7" t="s">
        <v>85</v>
      </c>
      <c r="P312" s="34">
        <v>10</v>
      </c>
      <c r="Q312" s="44"/>
      <c r="R312" s="34">
        <v>494</v>
      </c>
      <c r="S312" s="32">
        <v>46113</v>
      </c>
      <c r="T312" s="34">
        <v>15</v>
      </c>
      <c r="U312" s="34">
        <v>0</v>
      </c>
      <c r="V312" s="34">
        <f t="shared" si="4"/>
        <v>0</v>
      </c>
    </row>
    <row r="313" spans="1:22" s="1" customFormat="1" x14ac:dyDescent="0.25">
      <c r="A313" s="33">
        <v>46113</v>
      </c>
      <c r="B313" s="9" t="s">
        <v>27</v>
      </c>
      <c r="C313" s="9" t="s">
        <v>36</v>
      </c>
      <c r="D313" s="35" t="s">
        <v>298</v>
      </c>
      <c r="E313" s="9" t="s">
        <v>299</v>
      </c>
      <c r="F313" s="35" t="s">
        <v>305</v>
      </c>
      <c r="G313" s="9" t="s">
        <v>301</v>
      </c>
      <c r="H313" s="9" t="s">
        <v>49</v>
      </c>
      <c r="I313" s="35">
        <v>4</v>
      </c>
      <c r="J313" s="9" t="s">
        <v>313</v>
      </c>
      <c r="K313" s="9">
        <v>4</v>
      </c>
      <c r="L313" s="38">
        <v>90</v>
      </c>
      <c r="M313" s="38">
        <v>360</v>
      </c>
      <c r="N313" s="9">
        <v>6</v>
      </c>
      <c r="O313" s="9" t="s">
        <v>85</v>
      </c>
      <c r="P313" s="35">
        <v>4</v>
      </c>
      <c r="Q313" s="43"/>
      <c r="R313" s="35">
        <v>488</v>
      </c>
      <c r="S313" s="33">
        <v>46113</v>
      </c>
      <c r="T313" s="35">
        <v>7</v>
      </c>
      <c r="U313" s="35">
        <v>1</v>
      </c>
      <c r="V313" s="35">
        <f t="shared" si="4"/>
        <v>0</v>
      </c>
    </row>
    <row r="314" spans="1:22" s="4" customFormat="1" x14ac:dyDescent="0.25">
      <c r="A314" s="32">
        <v>46113</v>
      </c>
      <c r="B314" s="7" t="s">
        <v>27</v>
      </c>
      <c r="C314" s="7" t="s">
        <v>36</v>
      </c>
      <c r="D314" s="34" t="s">
        <v>298</v>
      </c>
      <c r="E314" s="7" t="s">
        <v>299</v>
      </c>
      <c r="F314" s="34" t="s">
        <v>306</v>
      </c>
      <c r="G314" s="7" t="s">
        <v>301</v>
      </c>
      <c r="H314" s="7" t="s">
        <v>50</v>
      </c>
      <c r="I314" s="34">
        <v>4</v>
      </c>
      <c r="J314" s="7" t="s">
        <v>313</v>
      </c>
      <c r="K314" s="7">
        <v>4</v>
      </c>
      <c r="L314" s="37">
        <v>90</v>
      </c>
      <c r="M314" s="37">
        <v>360</v>
      </c>
      <c r="N314" s="7">
        <v>6</v>
      </c>
      <c r="O314" s="7" t="s">
        <v>85</v>
      </c>
      <c r="P314" s="34">
        <v>4</v>
      </c>
      <c r="Q314" s="44"/>
      <c r="R314" s="34">
        <v>482</v>
      </c>
      <c r="S314" s="32">
        <v>46113</v>
      </c>
      <c r="T314" s="34">
        <v>7</v>
      </c>
      <c r="U314" s="34">
        <v>1</v>
      </c>
      <c r="V314" s="34">
        <f t="shared" si="4"/>
        <v>0</v>
      </c>
    </row>
    <row r="315" spans="1:22" s="1" customFormat="1" x14ac:dyDescent="0.25">
      <c r="A315" s="33">
        <v>46113</v>
      </c>
      <c r="B315" s="9" t="s">
        <v>27</v>
      </c>
      <c r="C315" s="9" t="s">
        <v>36</v>
      </c>
      <c r="D315" s="35" t="s">
        <v>298</v>
      </c>
      <c r="E315" s="9" t="s">
        <v>299</v>
      </c>
      <c r="F315" s="35" t="s">
        <v>302</v>
      </c>
      <c r="G315" s="9" t="s">
        <v>301</v>
      </c>
      <c r="H315" s="9" t="s">
        <v>51</v>
      </c>
      <c r="I315" s="35">
        <v>5</v>
      </c>
      <c r="J315" s="9" t="s">
        <v>315</v>
      </c>
      <c r="K315" s="9">
        <v>9</v>
      </c>
      <c r="L315" s="38">
        <v>40</v>
      </c>
      <c r="M315" s="38">
        <v>360</v>
      </c>
      <c r="N315" s="9">
        <v>6</v>
      </c>
      <c r="O315" s="9" t="s">
        <v>85</v>
      </c>
      <c r="P315" s="35">
        <v>9</v>
      </c>
      <c r="Q315" s="43"/>
      <c r="R315" s="35">
        <v>476</v>
      </c>
      <c r="S315" s="33">
        <v>46113</v>
      </c>
      <c r="T315" s="35">
        <v>6</v>
      </c>
      <c r="U315" s="35">
        <v>0</v>
      </c>
      <c r="V315" s="35">
        <f t="shared" si="4"/>
        <v>0</v>
      </c>
    </row>
    <row r="316" spans="1:22" s="4" customFormat="1" x14ac:dyDescent="0.25">
      <c r="A316" s="32">
        <v>46113</v>
      </c>
      <c r="B316" s="7" t="s">
        <v>27</v>
      </c>
      <c r="C316" s="7" t="s">
        <v>36</v>
      </c>
      <c r="D316" s="34" t="s">
        <v>298</v>
      </c>
      <c r="E316" s="7" t="s">
        <v>299</v>
      </c>
      <c r="F316" s="34" t="s">
        <v>304</v>
      </c>
      <c r="G316" s="7" t="s">
        <v>301</v>
      </c>
      <c r="H316" s="7" t="s">
        <v>48</v>
      </c>
      <c r="I316" s="34">
        <v>5</v>
      </c>
      <c r="J316" s="7" t="s">
        <v>315</v>
      </c>
      <c r="K316" s="7">
        <v>10</v>
      </c>
      <c r="L316" s="37">
        <v>40</v>
      </c>
      <c r="M316" s="37">
        <v>400</v>
      </c>
      <c r="N316" s="7">
        <v>6.666666666666667</v>
      </c>
      <c r="O316" s="7" t="s">
        <v>85</v>
      </c>
      <c r="P316" s="34">
        <v>10</v>
      </c>
      <c r="Q316" s="44"/>
      <c r="R316" s="34">
        <v>469.33333333333331</v>
      </c>
      <c r="S316" s="32">
        <v>46113</v>
      </c>
      <c r="T316" s="34">
        <v>7</v>
      </c>
      <c r="U316" s="34">
        <v>0.33333333333333304</v>
      </c>
      <c r="V316" s="34">
        <f t="shared" si="4"/>
        <v>0</v>
      </c>
    </row>
    <row r="317" spans="1:22" s="1" customFormat="1" x14ac:dyDescent="0.25">
      <c r="A317" s="33">
        <v>46113</v>
      </c>
      <c r="B317" s="9" t="s">
        <v>27</v>
      </c>
      <c r="C317" s="9" t="s">
        <v>36</v>
      </c>
      <c r="D317" s="35" t="s">
        <v>298</v>
      </c>
      <c r="E317" s="9" t="s">
        <v>299</v>
      </c>
      <c r="F317" s="35" t="s">
        <v>305</v>
      </c>
      <c r="G317" s="9" t="s">
        <v>301</v>
      </c>
      <c r="H317" s="9" t="s">
        <v>49</v>
      </c>
      <c r="I317" s="35">
        <v>5</v>
      </c>
      <c r="J317" s="9" t="s">
        <v>315</v>
      </c>
      <c r="K317" s="9">
        <v>4</v>
      </c>
      <c r="L317" s="38">
        <v>40</v>
      </c>
      <c r="M317" s="38">
        <v>160</v>
      </c>
      <c r="N317" s="9">
        <v>2.6666666666666665</v>
      </c>
      <c r="O317" s="9" t="s">
        <v>85</v>
      </c>
      <c r="P317" s="35">
        <v>4</v>
      </c>
      <c r="Q317" s="43"/>
      <c r="R317" s="35">
        <v>467.33333333333331</v>
      </c>
      <c r="S317" s="33">
        <v>46113</v>
      </c>
      <c r="T317" s="35">
        <v>3</v>
      </c>
      <c r="U317" s="35">
        <v>0.33333333333333348</v>
      </c>
      <c r="V317" s="35">
        <f t="shared" si="4"/>
        <v>0</v>
      </c>
    </row>
    <row r="318" spans="1:22" s="4" customFormat="1" x14ac:dyDescent="0.25">
      <c r="A318" s="32">
        <v>46113</v>
      </c>
      <c r="B318" s="7" t="s">
        <v>27</v>
      </c>
      <c r="C318" s="7" t="s">
        <v>36</v>
      </c>
      <c r="D318" s="34" t="s">
        <v>298</v>
      </c>
      <c r="E318" s="7" t="s">
        <v>299</v>
      </c>
      <c r="F318" s="34" t="s">
        <v>306</v>
      </c>
      <c r="G318" s="7" t="s">
        <v>301</v>
      </c>
      <c r="H318" s="7" t="s">
        <v>50</v>
      </c>
      <c r="I318" s="34">
        <v>5</v>
      </c>
      <c r="J318" s="7" t="s">
        <v>315</v>
      </c>
      <c r="K318" s="7">
        <v>4</v>
      </c>
      <c r="L318" s="37">
        <v>40</v>
      </c>
      <c r="M318" s="37">
        <v>160</v>
      </c>
      <c r="N318" s="7">
        <v>2.6666666666666665</v>
      </c>
      <c r="O318" s="7" t="s">
        <v>85</v>
      </c>
      <c r="P318" s="34">
        <v>4</v>
      </c>
      <c r="Q318" s="44"/>
      <c r="R318" s="34">
        <v>465.33333333333331</v>
      </c>
      <c r="S318" s="32">
        <v>46113</v>
      </c>
      <c r="T318" s="34">
        <v>3</v>
      </c>
      <c r="U318" s="34">
        <v>0.33333333333333348</v>
      </c>
      <c r="V318" s="34">
        <f t="shared" si="4"/>
        <v>0</v>
      </c>
    </row>
    <row r="319" spans="1:22" s="1" customFormat="1" x14ac:dyDescent="0.25">
      <c r="A319" s="33">
        <v>46113</v>
      </c>
      <c r="B319" s="9" t="s">
        <v>27</v>
      </c>
      <c r="C319" s="9" t="s">
        <v>36</v>
      </c>
      <c r="D319" s="35" t="s">
        <v>298</v>
      </c>
      <c r="E319" s="9" t="s">
        <v>299</v>
      </c>
      <c r="F319" s="35" t="s">
        <v>302</v>
      </c>
      <c r="G319" s="9" t="s">
        <v>301</v>
      </c>
      <c r="H319" s="9" t="s">
        <v>51</v>
      </c>
      <c r="I319" s="35">
        <v>6</v>
      </c>
      <c r="J319" s="9" t="s">
        <v>316</v>
      </c>
      <c r="K319" s="9">
        <v>9</v>
      </c>
      <c r="L319" s="38">
        <v>150</v>
      </c>
      <c r="M319" s="38">
        <v>1350</v>
      </c>
      <c r="N319" s="9">
        <v>22.5</v>
      </c>
      <c r="O319" s="9" t="s">
        <v>85</v>
      </c>
      <c r="P319" s="35">
        <v>9</v>
      </c>
      <c r="Q319" s="43"/>
      <c r="R319" s="35">
        <v>443.5</v>
      </c>
      <c r="S319" s="33">
        <v>46113</v>
      </c>
      <c r="T319" s="35">
        <v>23</v>
      </c>
      <c r="U319" s="35">
        <v>0.5</v>
      </c>
      <c r="V319" s="35">
        <f t="shared" si="4"/>
        <v>0</v>
      </c>
    </row>
    <row r="320" spans="1:22" s="4" customFormat="1" x14ac:dyDescent="0.25">
      <c r="A320" s="32">
        <v>46113</v>
      </c>
      <c r="B320" s="7" t="s">
        <v>27</v>
      </c>
      <c r="C320" s="7" t="s">
        <v>36</v>
      </c>
      <c r="D320" s="34" t="s">
        <v>298</v>
      </c>
      <c r="E320" s="7" t="s">
        <v>299</v>
      </c>
      <c r="F320" s="34" t="s">
        <v>304</v>
      </c>
      <c r="G320" s="7" t="s">
        <v>301</v>
      </c>
      <c r="H320" s="7" t="s">
        <v>48</v>
      </c>
      <c r="I320" s="34">
        <v>6</v>
      </c>
      <c r="J320" s="7" t="s">
        <v>316</v>
      </c>
      <c r="K320" s="7">
        <v>10</v>
      </c>
      <c r="L320" s="37">
        <v>150</v>
      </c>
      <c r="M320" s="37">
        <v>1500</v>
      </c>
      <c r="N320" s="7">
        <v>25</v>
      </c>
      <c r="O320" s="7" t="s">
        <v>85</v>
      </c>
      <c r="P320" s="34">
        <v>10</v>
      </c>
      <c r="Q320" s="44"/>
      <c r="R320" s="34">
        <v>419</v>
      </c>
      <c r="S320" s="32">
        <v>46113</v>
      </c>
      <c r="T320" s="34">
        <v>25</v>
      </c>
      <c r="U320" s="34">
        <v>0</v>
      </c>
      <c r="V320" s="34">
        <f t="shared" si="4"/>
        <v>0</v>
      </c>
    </row>
    <row r="321" spans="1:22" s="1" customFormat="1" x14ac:dyDescent="0.25">
      <c r="A321" s="33">
        <v>46113</v>
      </c>
      <c r="B321" s="9" t="s">
        <v>27</v>
      </c>
      <c r="C321" s="9" t="s">
        <v>36</v>
      </c>
      <c r="D321" s="35" t="s">
        <v>298</v>
      </c>
      <c r="E321" s="9" t="s">
        <v>299</v>
      </c>
      <c r="F321" s="35" t="s">
        <v>305</v>
      </c>
      <c r="G321" s="9" t="s">
        <v>301</v>
      </c>
      <c r="H321" s="9" t="s">
        <v>49</v>
      </c>
      <c r="I321" s="35">
        <v>6</v>
      </c>
      <c r="J321" s="9" t="s">
        <v>316</v>
      </c>
      <c r="K321" s="9">
        <v>4</v>
      </c>
      <c r="L321" s="38">
        <v>150</v>
      </c>
      <c r="M321" s="38">
        <v>600</v>
      </c>
      <c r="N321" s="9">
        <v>10</v>
      </c>
      <c r="O321" s="9" t="s">
        <v>85</v>
      </c>
      <c r="P321" s="35">
        <v>4</v>
      </c>
      <c r="Q321" s="43"/>
      <c r="R321" s="35">
        <v>409</v>
      </c>
      <c r="S321" s="33">
        <v>46113</v>
      </c>
      <c r="T321" s="35">
        <v>11</v>
      </c>
      <c r="U321" s="35">
        <v>1</v>
      </c>
      <c r="V321" s="35">
        <f t="shared" si="4"/>
        <v>0</v>
      </c>
    </row>
    <row r="322" spans="1:22" s="4" customFormat="1" x14ac:dyDescent="0.25">
      <c r="A322" s="32">
        <v>46113</v>
      </c>
      <c r="B322" s="7" t="s">
        <v>27</v>
      </c>
      <c r="C322" s="7" t="s">
        <v>36</v>
      </c>
      <c r="D322" s="34" t="s">
        <v>298</v>
      </c>
      <c r="E322" s="7" t="s">
        <v>299</v>
      </c>
      <c r="F322" s="34" t="s">
        <v>306</v>
      </c>
      <c r="G322" s="7" t="s">
        <v>301</v>
      </c>
      <c r="H322" s="7" t="s">
        <v>50</v>
      </c>
      <c r="I322" s="34">
        <v>6</v>
      </c>
      <c r="J322" s="7" t="s">
        <v>316</v>
      </c>
      <c r="K322" s="7">
        <v>4</v>
      </c>
      <c r="L322" s="37">
        <v>150</v>
      </c>
      <c r="M322" s="37">
        <v>600</v>
      </c>
      <c r="N322" s="7">
        <v>10</v>
      </c>
      <c r="O322" s="7" t="s">
        <v>85</v>
      </c>
      <c r="P322" s="34">
        <v>4</v>
      </c>
      <c r="Q322" s="44"/>
      <c r="R322" s="34">
        <v>399</v>
      </c>
      <c r="S322" s="32">
        <v>46113</v>
      </c>
      <c r="T322" s="34">
        <v>10</v>
      </c>
      <c r="U322" s="34">
        <v>0</v>
      </c>
      <c r="V322" s="34">
        <f t="shared" si="4"/>
        <v>0</v>
      </c>
    </row>
    <row r="323" spans="1:22" s="1" customFormat="1" x14ac:dyDescent="0.25">
      <c r="A323" s="33">
        <v>46113</v>
      </c>
      <c r="B323" s="9" t="s">
        <v>27</v>
      </c>
      <c r="C323" s="9" t="s">
        <v>36</v>
      </c>
      <c r="D323" s="35" t="s">
        <v>298</v>
      </c>
      <c r="E323" s="9" t="s">
        <v>299</v>
      </c>
      <c r="F323" s="35" t="s">
        <v>302</v>
      </c>
      <c r="G323" s="9" t="s">
        <v>301</v>
      </c>
      <c r="H323" s="9" t="s">
        <v>51</v>
      </c>
      <c r="I323" s="35">
        <v>10</v>
      </c>
      <c r="J323" s="9" t="s">
        <v>267</v>
      </c>
      <c r="K323" s="9">
        <v>9</v>
      </c>
      <c r="L323" s="38">
        <v>120</v>
      </c>
      <c r="M323" s="38">
        <v>1080</v>
      </c>
      <c r="N323" s="9">
        <v>18</v>
      </c>
      <c r="O323" s="9" t="s">
        <v>85</v>
      </c>
      <c r="P323" s="35">
        <v>9</v>
      </c>
      <c r="Q323" s="43"/>
      <c r="R323" s="35">
        <v>381</v>
      </c>
      <c r="S323" s="33">
        <v>46113</v>
      </c>
      <c r="T323" s="35">
        <v>19</v>
      </c>
      <c r="U323" s="35">
        <v>1</v>
      </c>
      <c r="V323" s="35">
        <f t="shared" si="4"/>
        <v>0</v>
      </c>
    </row>
    <row r="324" spans="1:22" s="4" customFormat="1" x14ac:dyDescent="0.25">
      <c r="A324" s="32">
        <v>46113</v>
      </c>
      <c r="B324" s="7" t="s">
        <v>27</v>
      </c>
      <c r="C324" s="7" t="s">
        <v>36</v>
      </c>
      <c r="D324" s="34" t="s">
        <v>298</v>
      </c>
      <c r="E324" s="7" t="s">
        <v>299</v>
      </c>
      <c r="F324" s="34" t="s">
        <v>304</v>
      </c>
      <c r="G324" s="7" t="s">
        <v>301</v>
      </c>
      <c r="H324" s="7" t="s">
        <v>48</v>
      </c>
      <c r="I324" s="34">
        <v>10</v>
      </c>
      <c r="J324" s="7" t="s">
        <v>267</v>
      </c>
      <c r="K324" s="7">
        <v>10</v>
      </c>
      <c r="L324" s="37">
        <v>120</v>
      </c>
      <c r="M324" s="37">
        <v>1200</v>
      </c>
      <c r="N324" s="7">
        <v>20</v>
      </c>
      <c r="O324" s="7" t="s">
        <v>85</v>
      </c>
      <c r="P324" s="34">
        <v>10</v>
      </c>
      <c r="Q324" s="44"/>
      <c r="R324" s="34">
        <v>361</v>
      </c>
      <c r="S324" s="32">
        <v>46113</v>
      </c>
      <c r="T324" s="34">
        <v>20</v>
      </c>
      <c r="U324" s="34">
        <v>0</v>
      </c>
      <c r="V324" s="34">
        <f t="shared" si="4"/>
        <v>0</v>
      </c>
    </row>
    <row r="325" spans="1:22" s="1" customFormat="1" x14ac:dyDescent="0.25">
      <c r="A325" s="33">
        <v>46113</v>
      </c>
      <c r="B325" s="9" t="s">
        <v>27</v>
      </c>
      <c r="C325" s="9" t="s">
        <v>36</v>
      </c>
      <c r="D325" s="35" t="s">
        <v>298</v>
      </c>
      <c r="E325" s="9" t="s">
        <v>299</v>
      </c>
      <c r="F325" s="35" t="s">
        <v>305</v>
      </c>
      <c r="G325" s="9" t="s">
        <v>301</v>
      </c>
      <c r="H325" s="9" t="s">
        <v>49</v>
      </c>
      <c r="I325" s="35">
        <v>10</v>
      </c>
      <c r="J325" s="9" t="s">
        <v>267</v>
      </c>
      <c r="K325" s="9">
        <v>4</v>
      </c>
      <c r="L325" s="38">
        <v>120</v>
      </c>
      <c r="M325" s="38">
        <v>480</v>
      </c>
      <c r="N325" s="9">
        <v>8</v>
      </c>
      <c r="O325" s="9" t="s">
        <v>85</v>
      </c>
      <c r="P325" s="35">
        <v>4</v>
      </c>
      <c r="Q325" s="43"/>
      <c r="R325" s="35">
        <v>353</v>
      </c>
      <c r="S325" s="33">
        <v>46113</v>
      </c>
      <c r="T325" s="35">
        <v>9</v>
      </c>
      <c r="U325" s="35">
        <v>1</v>
      </c>
      <c r="V325" s="35">
        <f t="shared" ref="V325:V388" si="5">+K325-P325</f>
        <v>0</v>
      </c>
    </row>
    <row r="326" spans="1:22" s="4" customFormat="1" x14ac:dyDescent="0.25">
      <c r="A326" s="32">
        <v>46113</v>
      </c>
      <c r="B326" s="7" t="s">
        <v>27</v>
      </c>
      <c r="C326" s="7" t="s">
        <v>36</v>
      </c>
      <c r="D326" s="34" t="s">
        <v>298</v>
      </c>
      <c r="E326" s="7" t="s">
        <v>299</v>
      </c>
      <c r="F326" s="34" t="s">
        <v>306</v>
      </c>
      <c r="G326" s="7" t="s">
        <v>301</v>
      </c>
      <c r="H326" s="7" t="s">
        <v>50</v>
      </c>
      <c r="I326" s="34">
        <v>10</v>
      </c>
      <c r="J326" s="7" t="s">
        <v>267</v>
      </c>
      <c r="K326" s="7">
        <v>4</v>
      </c>
      <c r="L326" s="37">
        <v>120</v>
      </c>
      <c r="M326" s="37">
        <v>480</v>
      </c>
      <c r="N326" s="7">
        <v>8</v>
      </c>
      <c r="O326" s="7" t="s">
        <v>85</v>
      </c>
      <c r="P326" s="34">
        <v>4</v>
      </c>
      <c r="Q326" s="44"/>
      <c r="R326" s="34">
        <v>345</v>
      </c>
      <c r="S326" s="32">
        <v>46113</v>
      </c>
      <c r="T326" s="34">
        <v>8</v>
      </c>
      <c r="U326" s="34">
        <v>0</v>
      </c>
      <c r="V326" s="34">
        <f t="shared" si="5"/>
        <v>0</v>
      </c>
    </row>
    <row r="327" spans="1:22" s="1" customFormat="1" x14ac:dyDescent="0.25">
      <c r="A327" s="33">
        <v>46113</v>
      </c>
      <c r="B327" s="9" t="s">
        <v>30</v>
      </c>
      <c r="C327" s="9" t="s">
        <v>40</v>
      </c>
      <c r="D327" s="35" t="s">
        <v>298</v>
      </c>
      <c r="E327" s="9" t="s">
        <v>299</v>
      </c>
      <c r="F327" s="35" t="s">
        <v>307</v>
      </c>
      <c r="G327" s="9" t="s">
        <v>55</v>
      </c>
      <c r="H327" s="9" t="s">
        <v>51</v>
      </c>
      <c r="I327" s="35">
        <v>3</v>
      </c>
      <c r="J327" s="9" t="s">
        <v>312</v>
      </c>
      <c r="K327" s="9">
        <v>30</v>
      </c>
      <c r="L327" s="38">
        <v>45</v>
      </c>
      <c r="M327" s="38">
        <v>1350</v>
      </c>
      <c r="N327" s="9">
        <v>22.5</v>
      </c>
      <c r="O327" s="9" t="s">
        <v>85</v>
      </c>
      <c r="P327" s="35">
        <v>30</v>
      </c>
      <c r="Q327" s="43"/>
      <c r="R327" s="35">
        <v>412.5</v>
      </c>
      <c r="S327" s="33">
        <v>46113</v>
      </c>
      <c r="T327" s="35">
        <v>23</v>
      </c>
      <c r="U327" s="35">
        <v>0.5</v>
      </c>
      <c r="V327" s="35">
        <f t="shared" si="5"/>
        <v>0</v>
      </c>
    </row>
    <row r="328" spans="1:22" s="4" customFormat="1" x14ac:dyDescent="0.25">
      <c r="A328" s="32">
        <v>46113</v>
      </c>
      <c r="B328" s="7" t="s">
        <v>30</v>
      </c>
      <c r="C328" s="7" t="s">
        <v>40</v>
      </c>
      <c r="D328" s="34" t="s">
        <v>298</v>
      </c>
      <c r="E328" s="7" t="s">
        <v>299</v>
      </c>
      <c r="F328" s="34" t="s">
        <v>308</v>
      </c>
      <c r="G328" s="7" t="s">
        <v>55</v>
      </c>
      <c r="H328" s="7" t="s">
        <v>48</v>
      </c>
      <c r="I328" s="34">
        <v>3</v>
      </c>
      <c r="J328" s="7" t="s">
        <v>312</v>
      </c>
      <c r="K328" s="7">
        <v>31</v>
      </c>
      <c r="L328" s="37">
        <v>45</v>
      </c>
      <c r="M328" s="37">
        <v>1395</v>
      </c>
      <c r="N328" s="7">
        <v>23.25</v>
      </c>
      <c r="O328" s="7" t="s">
        <v>85</v>
      </c>
      <c r="P328" s="34">
        <v>31</v>
      </c>
      <c r="Q328" s="44"/>
      <c r="R328" s="34">
        <v>389.75</v>
      </c>
      <c r="S328" s="32">
        <v>46113</v>
      </c>
      <c r="T328" s="34">
        <v>25</v>
      </c>
      <c r="U328" s="34">
        <v>1.75</v>
      </c>
      <c r="V328" s="34">
        <f t="shared" si="5"/>
        <v>0</v>
      </c>
    </row>
    <row r="329" spans="1:22" s="1" customFormat="1" x14ac:dyDescent="0.25">
      <c r="A329" s="33">
        <v>46113</v>
      </c>
      <c r="B329" s="9" t="s">
        <v>30</v>
      </c>
      <c r="C329" s="9" t="s">
        <v>40</v>
      </c>
      <c r="D329" s="35" t="s">
        <v>298</v>
      </c>
      <c r="E329" s="9" t="s">
        <v>299</v>
      </c>
      <c r="F329" s="35" t="s">
        <v>309</v>
      </c>
      <c r="G329" s="9" t="s">
        <v>55</v>
      </c>
      <c r="H329" s="9" t="s">
        <v>49</v>
      </c>
      <c r="I329" s="35">
        <v>3</v>
      </c>
      <c r="J329" s="9" t="s">
        <v>312</v>
      </c>
      <c r="K329" s="9">
        <v>16</v>
      </c>
      <c r="L329" s="38">
        <v>45</v>
      </c>
      <c r="M329" s="38">
        <v>720</v>
      </c>
      <c r="N329" s="9">
        <v>12</v>
      </c>
      <c r="O329" s="9" t="s">
        <v>85</v>
      </c>
      <c r="P329" s="35">
        <v>16</v>
      </c>
      <c r="Q329" s="43"/>
      <c r="R329" s="35">
        <v>378</v>
      </c>
      <c r="S329" s="33">
        <v>46113</v>
      </c>
      <c r="T329" s="35">
        <v>14</v>
      </c>
      <c r="U329" s="35">
        <v>2</v>
      </c>
      <c r="V329" s="35">
        <f t="shared" si="5"/>
        <v>0</v>
      </c>
    </row>
    <row r="330" spans="1:22" s="4" customFormat="1" x14ac:dyDescent="0.25">
      <c r="A330" s="32">
        <v>46113</v>
      </c>
      <c r="B330" s="7" t="s">
        <v>30</v>
      </c>
      <c r="C330" s="7" t="s">
        <v>40</v>
      </c>
      <c r="D330" s="34" t="s">
        <v>298</v>
      </c>
      <c r="E330" s="7" t="s">
        <v>299</v>
      </c>
      <c r="F330" s="34" t="s">
        <v>310</v>
      </c>
      <c r="G330" s="7" t="s">
        <v>55</v>
      </c>
      <c r="H330" s="7" t="s">
        <v>50</v>
      </c>
      <c r="I330" s="34">
        <v>3</v>
      </c>
      <c r="J330" s="7" t="s">
        <v>312</v>
      </c>
      <c r="K330" s="7">
        <v>16</v>
      </c>
      <c r="L330" s="37">
        <v>45</v>
      </c>
      <c r="M330" s="37">
        <v>720</v>
      </c>
      <c r="N330" s="7">
        <v>12</v>
      </c>
      <c r="O330" s="7" t="s">
        <v>85</v>
      </c>
      <c r="P330" s="34">
        <v>16</v>
      </c>
      <c r="Q330" s="44"/>
      <c r="R330" s="34">
        <v>366</v>
      </c>
      <c r="S330" s="32">
        <v>46113</v>
      </c>
      <c r="T330" s="34">
        <v>13</v>
      </c>
      <c r="U330" s="34">
        <v>1</v>
      </c>
      <c r="V330" s="34">
        <f t="shared" si="5"/>
        <v>0</v>
      </c>
    </row>
    <row r="331" spans="1:22" s="1" customFormat="1" x14ac:dyDescent="0.25">
      <c r="A331" s="33">
        <v>46113</v>
      </c>
      <c r="B331" s="9" t="s">
        <v>30</v>
      </c>
      <c r="C331" s="9" t="s">
        <v>40</v>
      </c>
      <c r="D331" s="35" t="s">
        <v>298</v>
      </c>
      <c r="E331" s="9" t="s">
        <v>299</v>
      </c>
      <c r="F331" s="35" t="s">
        <v>307</v>
      </c>
      <c r="G331" s="9" t="s">
        <v>55</v>
      </c>
      <c r="H331" s="9" t="s">
        <v>51</v>
      </c>
      <c r="I331" s="35">
        <v>4</v>
      </c>
      <c r="J331" s="9" t="s">
        <v>313</v>
      </c>
      <c r="K331" s="9">
        <v>30</v>
      </c>
      <c r="L331" s="38">
        <v>90</v>
      </c>
      <c r="M331" s="38">
        <v>2700</v>
      </c>
      <c r="N331" s="9">
        <v>45</v>
      </c>
      <c r="O331" s="9" t="s">
        <v>85</v>
      </c>
      <c r="P331" s="35">
        <v>30</v>
      </c>
      <c r="Q331" s="43"/>
      <c r="R331" s="35">
        <v>321</v>
      </c>
      <c r="S331" s="33">
        <v>46113</v>
      </c>
      <c r="T331" s="35">
        <v>50</v>
      </c>
      <c r="U331" s="35">
        <v>5</v>
      </c>
      <c r="V331" s="35">
        <f t="shared" si="5"/>
        <v>0</v>
      </c>
    </row>
    <row r="332" spans="1:22" s="4" customFormat="1" x14ac:dyDescent="0.25">
      <c r="A332" s="32">
        <v>46113</v>
      </c>
      <c r="B332" s="7" t="s">
        <v>30</v>
      </c>
      <c r="C332" s="7" t="s">
        <v>40</v>
      </c>
      <c r="D332" s="34" t="s">
        <v>298</v>
      </c>
      <c r="E332" s="7" t="s">
        <v>299</v>
      </c>
      <c r="F332" s="34" t="s">
        <v>308</v>
      </c>
      <c r="G332" s="7" t="s">
        <v>55</v>
      </c>
      <c r="H332" s="7" t="s">
        <v>48</v>
      </c>
      <c r="I332" s="34">
        <v>4</v>
      </c>
      <c r="J332" s="7" t="s">
        <v>313</v>
      </c>
      <c r="K332" s="7">
        <v>31</v>
      </c>
      <c r="L332" s="37">
        <v>90</v>
      </c>
      <c r="M332" s="37">
        <v>2790</v>
      </c>
      <c r="N332" s="7">
        <v>46.5</v>
      </c>
      <c r="O332" s="7" t="s">
        <v>85</v>
      </c>
      <c r="P332" s="34">
        <v>31</v>
      </c>
      <c r="Q332" s="44"/>
      <c r="R332" s="34">
        <v>274.5</v>
      </c>
      <c r="S332" s="32">
        <v>46113</v>
      </c>
      <c r="T332" s="34">
        <v>47</v>
      </c>
      <c r="U332" s="34">
        <v>0.5</v>
      </c>
      <c r="V332" s="34">
        <f t="shared" si="5"/>
        <v>0</v>
      </c>
    </row>
    <row r="333" spans="1:22" s="1" customFormat="1" x14ac:dyDescent="0.25">
      <c r="A333" s="33">
        <v>46113</v>
      </c>
      <c r="B333" s="9" t="s">
        <v>30</v>
      </c>
      <c r="C333" s="9" t="s">
        <v>40</v>
      </c>
      <c r="D333" s="35" t="s">
        <v>298</v>
      </c>
      <c r="E333" s="9" t="s">
        <v>299</v>
      </c>
      <c r="F333" s="35" t="s">
        <v>309</v>
      </c>
      <c r="G333" s="9" t="s">
        <v>55</v>
      </c>
      <c r="H333" s="9" t="s">
        <v>49</v>
      </c>
      <c r="I333" s="35">
        <v>4</v>
      </c>
      <c r="J333" s="9" t="s">
        <v>313</v>
      </c>
      <c r="K333" s="9">
        <v>16</v>
      </c>
      <c r="L333" s="38">
        <v>90</v>
      </c>
      <c r="M333" s="38">
        <v>1440</v>
      </c>
      <c r="N333" s="9">
        <v>24</v>
      </c>
      <c r="O333" s="9" t="s">
        <v>85</v>
      </c>
      <c r="P333" s="35">
        <v>16</v>
      </c>
      <c r="Q333" s="43"/>
      <c r="R333" s="35">
        <v>251</v>
      </c>
      <c r="S333" s="33">
        <v>46113</v>
      </c>
      <c r="T333" s="35">
        <v>25</v>
      </c>
      <c r="U333" s="35">
        <v>1</v>
      </c>
      <c r="V333" s="35">
        <f t="shared" si="5"/>
        <v>0</v>
      </c>
    </row>
    <row r="334" spans="1:22" s="4" customFormat="1" x14ac:dyDescent="0.25">
      <c r="A334" s="32">
        <v>46113</v>
      </c>
      <c r="B334" s="7" t="s">
        <v>30</v>
      </c>
      <c r="C334" s="7" t="s">
        <v>40</v>
      </c>
      <c r="D334" s="34" t="s">
        <v>298</v>
      </c>
      <c r="E334" s="7" t="s">
        <v>299</v>
      </c>
      <c r="F334" s="34" t="s">
        <v>310</v>
      </c>
      <c r="G334" s="7" t="s">
        <v>55</v>
      </c>
      <c r="H334" s="7" t="s">
        <v>50</v>
      </c>
      <c r="I334" s="34">
        <v>4</v>
      </c>
      <c r="J334" s="7" t="s">
        <v>313</v>
      </c>
      <c r="K334" s="7">
        <v>16</v>
      </c>
      <c r="L334" s="37">
        <v>90</v>
      </c>
      <c r="M334" s="37">
        <v>1440</v>
      </c>
      <c r="N334" s="7">
        <v>24</v>
      </c>
      <c r="O334" s="7" t="s">
        <v>85</v>
      </c>
      <c r="P334" s="34">
        <v>16</v>
      </c>
      <c r="Q334" s="44"/>
      <c r="R334" s="34">
        <v>227</v>
      </c>
      <c r="S334" s="32">
        <v>46113</v>
      </c>
      <c r="T334" s="34">
        <v>25</v>
      </c>
      <c r="U334" s="34">
        <v>1</v>
      </c>
      <c r="V334" s="34">
        <f t="shared" si="5"/>
        <v>0</v>
      </c>
    </row>
    <row r="335" spans="1:22" s="1" customFormat="1" x14ac:dyDescent="0.25">
      <c r="A335" s="33">
        <v>46113</v>
      </c>
      <c r="B335" s="9" t="s">
        <v>30</v>
      </c>
      <c r="C335" s="9" t="s">
        <v>40</v>
      </c>
      <c r="D335" s="35" t="s">
        <v>298</v>
      </c>
      <c r="E335" s="9" t="s">
        <v>299</v>
      </c>
      <c r="F335" s="35" t="s">
        <v>307</v>
      </c>
      <c r="G335" s="9" t="s">
        <v>55</v>
      </c>
      <c r="H335" s="9" t="s">
        <v>51</v>
      </c>
      <c r="I335" s="35">
        <v>10</v>
      </c>
      <c r="J335" s="9" t="s">
        <v>267</v>
      </c>
      <c r="K335" s="9">
        <v>30</v>
      </c>
      <c r="L335" s="38">
        <v>120</v>
      </c>
      <c r="M335" s="38">
        <v>3600</v>
      </c>
      <c r="N335" s="9">
        <v>60</v>
      </c>
      <c r="O335" s="9" t="s">
        <v>85</v>
      </c>
      <c r="P335" s="35">
        <v>30</v>
      </c>
      <c r="Q335" s="43"/>
      <c r="R335" s="35">
        <v>167</v>
      </c>
      <c r="S335" s="33">
        <v>46113</v>
      </c>
      <c r="T335" s="35">
        <v>70</v>
      </c>
      <c r="U335" s="35">
        <v>10</v>
      </c>
      <c r="V335" s="35">
        <f t="shared" si="5"/>
        <v>0</v>
      </c>
    </row>
    <row r="336" spans="1:22" s="4" customFormat="1" x14ac:dyDescent="0.25">
      <c r="A336" s="32">
        <v>46113</v>
      </c>
      <c r="B336" s="7" t="s">
        <v>30</v>
      </c>
      <c r="C336" s="7" t="s">
        <v>40</v>
      </c>
      <c r="D336" s="34" t="s">
        <v>298</v>
      </c>
      <c r="E336" s="7" t="s">
        <v>299</v>
      </c>
      <c r="F336" s="34" t="s">
        <v>308</v>
      </c>
      <c r="G336" s="7" t="s">
        <v>55</v>
      </c>
      <c r="H336" s="7" t="s">
        <v>48</v>
      </c>
      <c r="I336" s="34">
        <v>10</v>
      </c>
      <c r="J336" s="7" t="s">
        <v>267</v>
      </c>
      <c r="K336" s="7">
        <v>31</v>
      </c>
      <c r="L336" s="37">
        <v>120</v>
      </c>
      <c r="M336" s="37">
        <v>3720</v>
      </c>
      <c r="N336" s="7">
        <v>62</v>
      </c>
      <c r="O336" s="7" t="s">
        <v>85</v>
      </c>
      <c r="P336" s="34">
        <v>31</v>
      </c>
      <c r="Q336" s="44"/>
      <c r="R336" s="34">
        <v>105</v>
      </c>
      <c r="S336" s="32">
        <v>46113</v>
      </c>
      <c r="T336" s="34">
        <v>63</v>
      </c>
      <c r="U336" s="34">
        <v>1</v>
      </c>
      <c r="V336" s="34">
        <f t="shared" si="5"/>
        <v>0</v>
      </c>
    </row>
    <row r="337" spans="1:22" s="1" customFormat="1" x14ac:dyDescent="0.25">
      <c r="A337" s="33">
        <v>46113</v>
      </c>
      <c r="B337" s="9" t="s">
        <v>30</v>
      </c>
      <c r="C337" s="9" t="s">
        <v>40</v>
      </c>
      <c r="D337" s="35" t="s">
        <v>298</v>
      </c>
      <c r="E337" s="9" t="s">
        <v>299</v>
      </c>
      <c r="F337" s="35" t="s">
        <v>309</v>
      </c>
      <c r="G337" s="9" t="s">
        <v>55</v>
      </c>
      <c r="H337" s="9" t="s">
        <v>49</v>
      </c>
      <c r="I337" s="35">
        <v>10</v>
      </c>
      <c r="J337" s="9" t="s">
        <v>267</v>
      </c>
      <c r="K337" s="9">
        <v>16</v>
      </c>
      <c r="L337" s="38">
        <v>120</v>
      </c>
      <c r="M337" s="38">
        <v>1920</v>
      </c>
      <c r="N337" s="9">
        <v>32</v>
      </c>
      <c r="O337" s="9" t="s">
        <v>85</v>
      </c>
      <c r="P337" s="35">
        <v>16</v>
      </c>
      <c r="Q337" s="43"/>
      <c r="R337" s="35">
        <v>73</v>
      </c>
      <c r="S337" s="33">
        <v>46113</v>
      </c>
      <c r="T337" s="35">
        <v>33</v>
      </c>
      <c r="U337" s="35">
        <v>1</v>
      </c>
      <c r="V337" s="35">
        <f t="shared" si="5"/>
        <v>0</v>
      </c>
    </row>
    <row r="338" spans="1:22" s="4" customFormat="1" x14ac:dyDescent="0.25">
      <c r="A338" s="32">
        <v>46113</v>
      </c>
      <c r="B338" s="7" t="s">
        <v>30</v>
      </c>
      <c r="C338" s="7" t="s">
        <v>40</v>
      </c>
      <c r="D338" s="34" t="s">
        <v>298</v>
      </c>
      <c r="E338" s="7" t="s">
        <v>299</v>
      </c>
      <c r="F338" s="34" t="s">
        <v>310</v>
      </c>
      <c r="G338" s="7" t="s">
        <v>55</v>
      </c>
      <c r="H338" s="7" t="s">
        <v>50</v>
      </c>
      <c r="I338" s="34">
        <v>10</v>
      </c>
      <c r="J338" s="7" t="s">
        <v>267</v>
      </c>
      <c r="K338" s="7">
        <v>16</v>
      </c>
      <c r="L338" s="37">
        <v>120</v>
      </c>
      <c r="M338" s="37">
        <v>1920</v>
      </c>
      <c r="N338" s="7">
        <v>32</v>
      </c>
      <c r="O338" s="7" t="s">
        <v>85</v>
      </c>
      <c r="P338" s="34">
        <v>16</v>
      </c>
      <c r="Q338" s="44"/>
      <c r="R338" s="34">
        <v>41</v>
      </c>
      <c r="S338" s="32">
        <v>46113</v>
      </c>
      <c r="T338" s="34">
        <v>33</v>
      </c>
      <c r="U338" s="34">
        <v>1</v>
      </c>
      <c r="V338" s="34">
        <f t="shared" si="5"/>
        <v>0</v>
      </c>
    </row>
    <row r="339" spans="1:22" s="1" customFormat="1" x14ac:dyDescent="0.25">
      <c r="A339" s="33">
        <v>46113</v>
      </c>
      <c r="B339" s="9" t="s">
        <v>27</v>
      </c>
      <c r="C339" s="9" t="s">
        <v>36</v>
      </c>
      <c r="D339" s="35" t="s">
        <v>298</v>
      </c>
      <c r="E339" s="9" t="s">
        <v>299</v>
      </c>
      <c r="F339" s="35" t="s">
        <v>302</v>
      </c>
      <c r="G339" s="9" t="s">
        <v>301</v>
      </c>
      <c r="H339" s="9" t="s">
        <v>51</v>
      </c>
      <c r="I339" s="35">
        <v>13</v>
      </c>
      <c r="J339" s="9" t="s">
        <v>327</v>
      </c>
      <c r="K339" s="9">
        <v>9</v>
      </c>
      <c r="L339" s="38">
        <v>40</v>
      </c>
      <c r="M339" s="38">
        <v>360</v>
      </c>
      <c r="N339" s="9">
        <v>6</v>
      </c>
      <c r="O339" s="9" t="s">
        <v>85</v>
      </c>
      <c r="P339" s="35">
        <v>9</v>
      </c>
      <c r="Q339" s="43"/>
      <c r="R339" s="35">
        <v>522</v>
      </c>
      <c r="S339" s="33">
        <v>46113</v>
      </c>
      <c r="T339" s="35">
        <v>7</v>
      </c>
      <c r="U339" s="35">
        <v>1</v>
      </c>
      <c r="V339" s="35">
        <f t="shared" si="5"/>
        <v>0</v>
      </c>
    </row>
    <row r="340" spans="1:22" s="4" customFormat="1" x14ac:dyDescent="0.25">
      <c r="A340" s="32">
        <v>46113</v>
      </c>
      <c r="B340" s="7" t="s">
        <v>27</v>
      </c>
      <c r="C340" s="7" t="s">
        <v>36</v>
      </c>
      <c r="D340" s="34" t="s">
        <v>298</v>
      </c>
      <c r="E340" s="7" t="s">
        <v>299</v>
      </c>
      <c r="F340" s="34" t="s">
        <v>304</v>
      </c>
      <c r="G340" s="7" t="s">
        <v>301</v>
      </c>
      <c r="H340" s="7" t="s">
        <v>48</v>
      </c>
      <c r="I340" s="34">
        <v>13</v>
      </c>
      <c r="J340" s="7" t="s">
        <v>327</v>
      </c>
      <c r="K340" s="7">
        <v>10</v>
      </c>
      <c r="L340" s="37">
        <v>40</v>
      </c>
      <c r="M340" s="37">
        <v>400</v>
      </c>
      <c r="N340" s="7">
        <v>6.666666666666667</v>
      </c>
      <c r="O340" s="7" t="s">
        <v>85</v>
      </c>
      <c r="P340" s="34">
        <v>10</v>
      </c>
      <c r="Q340" s="44"/>
      <c r="R340" s="34">
        <v>521.33333333333337</v>
      </c>
      <c r="S340" s="32">
        <v>46113</v>
      </c>
      <c r="T340" s="34">
        <v>7</v>
      </c>
      <c r="U340" s="34">
        <v>0.33333333333333304</v>
      </c>
      <c r="V340" s="34">
        <f t="shared" si="5"/>
        <v>0</v>
      </c>
    </row>
    <row r="341" spans="1:22" s="1" customFormat="1" x14ac:dyDescent="0.25">
      <c r="A341" s="33">
        <v>46113</v>
      </c>
      <c r="B341" s="9" t="s">
        <v>27</v>
      </c>
      <c r="C341" s="9" t="s">
        <v>36</v>
      </c>
      <c r="D341" s="35" t="s">
        <v>298</v>
      </c>
      <c r="E341" s="9" t="s">
        <v>299</v>
      </c>
      <c r="F341" s="35" t="s">
        <v>305</v>
      </c>
      <c r="G341" s="9" t="s">
        <v>301</v>
      </c>
      <c r="H341" s="9" t="s">
        <v>49</v>
      </c>
      <c r="I341" s="35">
        <v>13</v>
      </c>
      <c r="J341" s="9" t="s">
        <v>327</v>
      </c>
      <c r="K341" s="9">
        <v>4</v>
      </c>
      <c r="L341" s="38">
        <v>40</v>
      </c>
      <c r="M341" s="38">
        <v>160</v>
      </c>
      <c r="N341" s="9">
        <v>2.6666666666666665</v>
      </c>
      <c r="O341" s="9" t="s">
        <v>85</v>
      </c>
      <c r="P341" s="35">
        <v>4</v>
      </c>
      <c r="Q341" s="43"/>
      <c r="R341" s="35">
        <v>519.33333333333337</v>
      </c>
      <c r="S341" s="33">
        <v>46113</v>
      </c>
      <c r="T341" s="35">
        <v>3</v>
      </c>
      <c r="U341" s="35">
        <v>0.33333333333333348</v>
      </c>
      <c r="V341" s="35">
        <f t="shared" si="5"/>
        <v>0</v>
      </c>
    </row>
    <row r="342" spans="1:22" s="4" customFormat="1" x14ac:dyDescent="0.25">
      <c r="A342" s="32">
        <v>46113</v>
      </c>
      <c r="B342" s="7" t="s">
        <v>27</v>
      </c>
      <c r="C342" s="7" t="s">
        <v>36</v>
      </c>
      <c r="D342" s="34" t="s">
        <v>298</v>
      </c>
      <c r="E342" s="7" t="s">
        <v>299</v>
      </c>
      <c r="F342" s="34" t="s">
        <v>306</v>
      </c>
      <c r="G342" s="7" t="s">
        <v>301</v>
      </c>
      <c r="H342" s="7" t="s">
        <v>50</v>
      </c>
      <c r="I342" s="34">
        <v>13</v>
      </c>
      <c r="J342" s="7" t="s">
        <v>327</v>
      </c>
      <c r="K342" s="7">
        <v>4</v>
      </c>
      <c r="L342" s="37">
        <v>40</v>
      </c>
      <c r="M342" s="37">
        <v>160</v>
      </c>
      <c r="N342" s="7">
        <v>2.6666666666666665</v>
      </c>
      <c r="O342" s="7" t="s">
        <v>85</v>
      </c>
      <c r="P342" s="34">
        <v>4</v>
      </c>
      <c r="Q342" s="44"/>
      <c r="R342" s="34">
        <v>517.33333333333337</v>
      </c>
      <c r="S342" s="34"/>
      <c r="T342" s="34">
        <v>0</v>
      </c>
      <c r="U342" s="34">
        <v>0</v>
      </c>
      <c r="V342" s="34">
        <f t="shared" si="5"/>
        <v>0</v>
      </c>
    </row>
    <row r="343" spans="1:22" s="1" customFormat="1" x14ac:dyDescent="0.25">
      <c r="A343" s="33">
        <v>46113</v>
      </c>
      <c r="B343" s="9" t="s">
        <v>30</v>
      </c>
      <c r="C343" s="9" t="s">
        <v>40</v>
      </c>
      <c r="D343" s="35" t="s">
        <v>298</v>
      </c>
      <c r="E343" s="9" t="s">
        <v>299</v>
      </c>
      <c r="F343" s="35" t="s">
        <v>307</v>
      </c>
      <c r="G343" s="9" t="s">
        <v>55</v>
      </c>
      <c r="H343" s="9" t="s">
        <v>51</v>
      </c>
      <c r="I343" s="35">
        <v>13</v>
      </c>
      <c r="J343" s="9" t="s">
        <v>327</v>
      </c>
      <c r="K343" s="9">
        <v>30</v>
      </c>
      <c r="L343" s="38">
        <v>40</v>
      </c>
      <c r="M343" s="38">
        <v>1200</v>
      </c>
      <c r="N343" s="9">
        <v>20</v>
      </c>
      <c r="O343" s="9" t="s">
        <v>85</v>
      </c>
      <c r="P343" s="35">
        <v>30</v>
      </c>
      <c r="Q343" s="43"/>
      <c r="R343" s="35">
        <v>508</v>
      </c>
      <c r="S343" s="33">
        <v>46113</v>
      </c>
      <c r="T343" s="35">
        <v>20</v>
      </c>
      <c r="U343" s="35">
        <v>0</v>
      </c>
      <c r="V343" s="35">
        <f t="shared" si="5"/>
        <v>0</v>
      </c>
    </row>
    <row r="344" spans="1:22" s="4" customFormat="1" x14ac:dyDescent="0.25">
      <c r="A344" s="32">
        <v>46113</v>
      </c>
      <c r="B344" s="7" t="s">
        <v>30</v>
      </c>
      <c r="C344" s="7" t="s">
        <v>40</v>
      </c>
      <c r="D344" s="34" t="s">
        <v>298</v>
      </c>
      <c r="E344" s="7" t="s">
        <v>299</v>
      </c>
      <c r="F344" s="34" t="s">
        <v>308</v>
      </c>
      <c r="G344" s="7" t="s">
        <v>55</v>
      </c>
      <c r="H344" s="7" t="s">
        <v>48</v>
      </c>
      <c r="I344" s="34">
        <v>13</v>
      </c>
      <c r="J344" s="7" t="s">
        <v>327</v>
      </c>
      <c r="K344" s="7">
        <v>31</v>
      </c>
      <c r="L344" s="37">
        <v>40</v>
      </c>
      <c r="M344" s="37">
        <v>1240</v>
      </c>
      <c r="N344" s="7">
        <v>20.666666666666668</v>
      </c>
      <c r="O344" s="7" t="s">
        <v>85</v>
      </c>
      <c r="P344" s="34">
        <v>31</v>
      </c>
      <c r="Q344" s="44"/>
      <c r="R344" s="34">
        <v>487.33333333333331</v>
      </c>
      <c r="S344" s="32">
        <v>46113</v>
      </c>
      <c r="T344" s="34">
        <v>22</v>
      </c>
      <c r="U344" s="34">
        <v>1.3333333333333321</v>
      </c>
      <c r="V344" s="34">
        <f t="shared" si="5"/>
        <v>0</v>
      </c>
    </row>
    <row r="345" spans="1:22" s="1" customFormat="1" x14ac:dyDescent="0.25">
      <c r="A345" s="33">
        <v>46113</v>
      </c>
      <c r="B345" s="9" t="s">
        <v>30</v>
      </c>
      <c r="C345" s="9" t="s">
        <v>40</v>
      </c>
      <c r="D345" s="35" t="s">
        <v>298</v>
      </c>
      <c r="E345" s="9" t="s">
        <v>299</v>
      </c>
      <c r="F345" s="35" t="s">
        <v>309</v>
      </c>
      <c r="G345" s="9" t="s">
        <v>55</v>
      </c>
      <c r="H345" s="9" t="s">
        <v>49</v>
      </c>
      <c r="I345" s="35">
        <v>13</v>
      </c>
      <c r="J345" s="9" t="s">
        <v>327</v>
      </c>
      <c r="K345" s="9">
        <v>16</v>
      </c>
      <c r="L345" s="38">
        <v>40</v>
      </c>
      <c r="M345" s="38">
        <v>640</v>
      </c>
      <c r="N345" s="9">
        <v>10.666666666666666</v>
      </c>
      <c r="O345" s="9" t="s">
        <v>85</v>
      </c>
      <c r="P345" s="35">
        <v>16</v>
      </c>
      <c r="Q345" s="43"/>
      <c r="R345" s="35">
        <v>477.33333333333331</v>
      </c>
      <c r="S345" s="35"/>
      <c r="T345" s="35">
        <v>0</v>
      </c>
      <c r="U345" s="35">
        <v>0</v>
      </c>
      <c r="V345" s="35">
        <f t="shared" si="5"/>
        <v>0</v>
      </c>
    </row>
    <row r="346" spans="1:22" s="4" customFormat="1" x14ac:dyDescent="0.25">
      <c r="A346" s="32">
        <v>46113</v>
      </c>
      <c r="B346" s="7" t="s">
        <v>30</v>
      </c>
      <c r="C346" s="7" t="s">
        <v>40</v>
      </c>
      <c r="D346" s="34" t="s">
        <v>298</v>
      </c>
      <c r="E346" s="7" t="s">
        <v>299</v>
      </c>
      <c r="F346" s="34" t="s">
        <v>310</v>
      </c>
      <c r="G346" s="7" t="s">
        <v>55</v>
      </c>
      <c r="H346" s="7" t="s">
        <v>50</v>
      </c>
      <c r="I346" s="34">
        <v>13</v>
      </c>
      <c r="J346" s="7" t="s">
        <v>327</v>
      </c>
      <c r="K346" s="7">
        <v>16</v>
      </c>
      <c r="L346" s="37">
        <v>40</v>
      </c>
      <c r="M346" s="37">
        <v>640</v>
      </c>
      <c r="N346" s="7">
        <v>10.666666666666666</v>
      </c>
      <c r="O346" s="7" t="s">
        <v>85</v>
      </c>
      <c r="P346" s="34">
        <v>16</v>
      </c>
      <c r="Q346" s="44"/>
      <c r="R346" s="34">
        <v>467.33333333333331</v>
      </c>
      <c r="S346" s="32">
        <v>46113</v>
      </c>
      <c r="T346" s="34">
        <v>12</v>
      </c>
      <c r="U346" s="34">
        <v>1.3333333333333339</v>
      </c>
      <c r="V346" s="34">
        <f t="shared" si="5"/>
        <v>0</v>
      </c>
    </row>
    <row r="347" spans="1:22" s="1" customFormat="1" x14ac:dyDescent="0.25">
      <c r="A347" s="33">
        <v>46113</v>
      </c>
      <c r="B347" s="9" t="s">
        <v>29</v>
      </c>
      <c r="C347" s="9" t="s">
        <v>38</v>
      </c>
      <c r="D347" s="35" t="s">
        <v>298</v>
      </c>
      <c r="E347" s="9" t="s">
        <v>299</v>
      </c>
      <c r="F347" s="35" t="s">
        <v>302</v>
      </c>
      <c r="G347" s="9" t="s">
        <v>301</v>
      </c>
      <c r="H347" s="9" t="s">
        <v>51</v>
      </c>
      <c r="I347" s="35">
        <v>7</v>
      </c>
      <c r="J347" s="9" t="s">
        <v>317</v>
      </c>
      <c r="K347" s="9">
        <v>9</v>
      </c>
      <c r="L347" s="38">
        <v>40</v>
      </c>
      <c r="M347" s="38">
        <v>360</v>
      </c>
      <c r="N347" s="9">
        <v>6</v>
      </c>
      <c r="O347" s="9" t="s">
        <v>85</v>
      </c>
      <c r="P347" s="35">
        <v>9</v>
      </c>
      <c r="Q347" s="43"/>
      <c r="R347" s="35">
        <v>522</v>
      </c>
      <c r="S347" s="33">
        <v>46113</v>
      </c>
      <c r="T347" s="35">
        <v>7</v>
      </c>
      <c r="U347" s="35">
        <v>1</v>
      </c>
      <c r="V347" s="35">
        <f t="shared" si="5"/>
        <v>0</v>
      </c>
    </row>
    <row r="348" spans="1:22" s="4" customFormat="1" x14ac:dyDescent="0.25">
      <c r="A348" s="32">
        <v>46113</v>
      </c>
      <c r="B348" s="7" t="s">
        <v>29</v>
      </c>
      <c r="C348" s="7" t="s">
        <v>38</v>
      </c>
      <c r="D348" s="34" t="s">
        <v>298</v>
      </c>
      <c r="E348" s="7" t="s">
        <v>299</v>
      </c>
      <c r="F348" s="34" t="s">
        <v>304</v>
      </c>
      <c r="G348" s="7" t="s">
        <v>301</v>
      </c>
      <c r="H348" s="7" t="s">
        <v>48</v>
      </c>
      <c r="I348" s="34">
        <v>7</v>
      </c>
      <c r="J348" s="7" t="s">
        <v>317</v>
      </c>
      <c r="K348" s="7">
        <v>10</v>
      </c>
      <c r="L348" s="37">
        <v>40</v>
      </c>
      <c r="M348" s="37">
        <v>400</v>
      </c>
      <c r="N348" s="7">
        <v>6.666666666666667</v>
      </c>
      <c r="O348" s="7" t="s">
        <v>85</v>
      </c>
      <c r="P348" s="34">
        <v>10</v>
      </c>
      <c r="Q348" s="44"/>
      <c r="R348" s="34">
        <v>515.33333333333337</v>
      </c>
      <c r="S348" s="32">
        <v>46113</v>
      </c>
      <c r="T348" s="34">
        <v>7</v>
      </c>
      <c r="U348" s="34">
        <v>0.33333333333333304</v>
      </c>
      <c r="V348" s="34">
        <f t="shared" si="5"/>
        <v>0</v>
      </c>
    </row>
    <row r="349" spans="1:22" s="1" customFormat="1" x14ac:dyDescent="0.25">
      <c r="A349" s="33">
        <v>46113</v>
      </c>
      <c r="B349" s="9" t="s">
        <v>29</v>
      </c>
      <c r="C349" s="9" t="s">
        <v>38</v>
      </c>
      <c r="D349" s="35" t="s">
        <v>298</v>
      </c>
      <c r="E349" s="9" t="s">
        <v>299</v>
      </c>
      <c r="F349" s="35" t="s">
        <v>305</v>
      </c>
      <c r="G349" s="9" t="s">
        <v>301</v>
      </c>
      <c r="H349" s="9" t="s">
        <v>49</v>
      </c>
      <c r="I349" s="35">
        <v>7</v>
      </c>
      <c r="J349" s="9" t="s">
        <v>317</v>
      </c>
      <c r="K349" s="9">
        <v>4</v>
      </c>
      <c r="L349" s="38">
        <v>40</v>
      </c>
      <c r="M349" s="38">
        <v>160</v>
      </c>
      <c r="N349" s="9">
        <v>2.6666666666666665</v>
      </c>
      <c r="O349" s="9" t="s">
        <v>85</v>
      </c>
      <c r="P349" s="35">
        <v>4</v>
      </c>
      <c r="Q349" s="43"/>
      <c r="R349" s="35">
        <v>513.33333333333337</v>
      </c>
      <c r="S349" s="33">
        <v>46113</v>
      </c>
      <c r="T349" s="35">
        <v>3</v>
      </c>
      <c r="U349" s="35">
        <v>0.33333333333333348</v>
      </c>
      <c r="V349" s="35">
        <f t="shared" si="5"/>
        <v>0</v>
      </c>
    </row>
    <row r="350" spans="1:22" s="4" customFormat="1" x14ac:dyDescent="0.25">
      <c r="A350" s="32">
        <v>46113</v>
      </c>
      <c r="B350" s="7" t="s">
        <v>29</v>
      </c>
      <c r="C350" s="7" t="s">
        <v>38</v>
      </c>
      <c r="D350" s="34" t="s">
        <v>298</v>
      </c>
      <c r="E350" s="7" t="s">
        <v>299</v>
      </c>
      <c r="F350" s="34" t="s">
        <v>306</v>
      </c>
      <c r="G350" s="7" t="s">
        <v>301</v>
      </c>
      <c r="H350" s="7" t="s">
        <v>50</v>
      </c>
      <c r="I350" s="34">
        <v>7</v>
      </c>
      <c r="J350" s="7" t="s">
        <v>317</v>
      </c>
      <c r="K350" s="7">
        <v>4</v>
      </c>
      <c r="L350" s="37">
        <v>40</v>
      </c>
      <c r="M350" s="37">
        <v>160</v>
      </c>
      <c r="N350" s="7">
        <v>2.6666666666666665</v>
      </c>
      <c r="O350" s="7" t="s">
        <v>85</v>
      </c>
      <c r="P350" s="34">
        <v>4</v>
      </c>
      <c r="Q350" s="44"/>
      <c r="R350" s="34">
        <v>511.33333333333331</v>
      </c>
      <c r="S350" s="32">
        <v>46113</v>
      </c>
      <c r="T350" s="34">
        <v>3</v>
      </c>
      <c r="U350" s="34">
        <v>0.33333333333333348</v>
      </c>
      <c r="V350" s="34">
        <f t="shared" si="5"/>
        <v>0</v>
      </c>
    </row>
    <row r="351" spans="1:22" s="1" customFormat="1" x14ac:dyDescent="0.25">
      <c r="A351" s="33">
        <v>46118</v>
      </c>
      <c r="B351" s="9" t="s">
        <v>29</v>
      </c>
      <c r="C351" s="9" t="s">
        <v>38</v>
      </c>
      <c r="D351" s="35" t="s">
        <v>298</v>
      </c>
      <c r="E351" s="9" t="s">
        <v>299</v>
      </c>
      <c r="F351" s="35" t="s">
        <v>307</v>
      </c>
      <c r="G351" s="9" t="s">
        <v>55</v>
      </c>
      <c r="H351" s="9" t="s">
        <v>51</v>
      </c>
      <c r="I351" s="35">
        <v>7</v>
      </c>
      <c r="J351" s="9" t="s">
        <v>317</v>
      </c>
      <c r="K351" s="9">
        <v>30</v>
      </c>
      <c r="L351" s="38">
        <v>40</v>
      </c>
      <c r="M351" s="38">
        <v>1200</v>
      </c>
      <c r="N351" s="9">
        <v>20</v>
      </c>
      <c r="O351" s="9" t="s">
        <v>85</v>
      </c>
      <c r="P351" s="35">
        <v>30</v>
      </c>
      <c r="Q351" s="43"/>
      <c r="R351" s="35">
        <v>492</v>
      </c>
      <c r="S351" s="33">
        <v>46118</v>
      </c>
      <c r="T351" s="35">
        <v>25</v>
      </c>
      <c r="U351" s="35">
        <v>5</v>
      </c>
      <c r="V351" s="35">
        <f t="shared" si="5"/>
        <v>0</v>
      </c>
    </row>
    <row r="352" spans="1:22" s="4" customFormat="1" x14ac:dyDescent="0.25">
      <c r="A352" s="32">
        <v>46118</v>
      </c>
      <c r="B352" s="7" t="s">
        <v>29</v>
      </c>
      <c r="C352" s="7" t="s">
        <v>38</v>
      </c>
      <c r="D352" s="34" t="s">
        <v>298</v>
      </c>
      <c r="E352" s="7" t="s">
        <v>299</v>
      </c>
      <c r="F352" s="34" t="s">
        <v>308</v>
      </c>
      <c r="G352" s="7" t="s">
        <v>55</v>
      </c>
      <c r="H352" s="7" t="s">
        <v>48</v>
      </c>
      <c r="I352" s="34">
        <v>7</v>
      </c>
      <c r="J352" s="7" t="s">
        <v>317</v>
      </c>
      <c r="K352" s="7">
        <v>31</v>
      </c>
      <c r="L352" s="37">
        <v>40</v>
      </c>
      <c r="M352" s="37">
        <v>1240</v>
      </c>
      <c r="N352" s="7">
        <v>20.666666666666668</v>
      </c>
      <c r="O352" s="7" t="s">
        <v>85</v>
      </c>
      <c r="P352" s="34">
        <v>31</v>
      </c>
      <c r="Q352" s="44"/>
      <c r="R352" s="34">
        <v>471.33333333333331</v>
      </c>
      <c r="S352" s="32">
        <v>46118</v>
      </c>
      <c r="T352" s="34">
        <v>22</v>
      </c>
      <c r="U352" s="34">
        <v>1.3333333333333321</v>
      </c>
      <c r="V352" s="34">
        <f t="shared" si="5"/>
        <v>0</v>
      </c>
    </row>
    <row r="353" spans="1:22" s="1" customFormat="1" x14ac:dyDescent="0.25">
      <c r="A353" s="33">
        <v>46118</v>
      </c>
      <c r="B353" s="9" t="s">
        <v>29</v>
      </c>
      <c r="C353" s="9" t="s">
        <v>38</v>
      </c>
      <c r="D353" s="35" t="s">
        <v>298</v>
      </c>
      <c r="E353" s="9" t="s">
        <v>299</v>
      </c>
      <c r="F353" s="35" t="s">
        <v>309</v>
      </c>
      <c r="G353" s="9" t="s">
        <v>55</v>
      </c>
      <c r="H353" s="9" t="s">
        <v>49</v>
      </c>
      <c r="I353" s="35">
        <v>7</v>
      </c>
      <c r="J353" s="9" t="s">
        <v>317</v>
      </c>
      <c r="K353" s="9">
        <v>16</v>
      </c>
      <c r="L353" s="38">
        <v>40</v>
      </c>
      <c r="M353" s="38">
        <v>640</v>
      </c>
      <c r="N353" s="9">
        <v>10.666666666666666</v>
      </c>
      <c r="O353" s="9" t="s">
        <v>85</v>
      </c>
      <c r="P353" s="35">
        <v>16</v>
      </c>
      <c r="Q353" s="43"/>
      <c r="R353" s="35">
        <v>461.33333333333331</v>
      </c>
      <c r="S353" s="33">
        <v>46118</v>
      </c>
      <c r="T353" s="35">
        <v>12</v>
      </c>
      <c r="U353" s="35">
        <v>1.3333333333333339</v>
      </c>
      <c r="V353" s="35">
        <f t="shared" si="5"/>
        <v>0</v>
      </c>
    </row>
    <row r="354" spans="1:22" s="4" customFormat="1" x14ac:dyDescent="0.25">
      <c r="A354" s="32">
        <v>46118</v>
      </c>
      <c r="B354" s="7" t="s">
        <v>29</v>
      </c>
      <c r="C354" s="7" t="s">
        <v>38</v>
      </c>
      <c r="D354" s="34" t="s">
        <v>298</v>
      </c>
      <c r="E354" s="7" t="s">
        <v>299</v>
      </c>
      <c r="F354" s="34" t="s">
        <v>310</v>
      </c>
      <c r="G354" s="7" t="s">
        <v>55</v>
      </c>
      <c r="H354" s="7" t="s">
        <v>50</v>
      </c>
      <c r="I354" s="34">
        <v>7</v>
      </c>
      <c r="J354" s="7" t="s">
        <v>317</v>
      </c>
      <c r="K354" s="7">
        <v>16</v>
      </c>
      <c r="L354" s="37">
        <v>40</v>
      </c>
      <c r="M354" s="37">
        <v>640</v>
      </c>
      <c r="N354" s="7">
        <v>10.666666666666666</v>
      </c>
      <c r="O354" s="7" t="s">
        <v>85</v>
      </c>
      <c r="P354" s="34">
        <v>16</v>
      </c>
      <c r="Q354" s="44"/>
      <c r="R354" s="34">
        <v>451.33333333333331</v>
      </c>
      <c r="S354" s="32">
        <v>46118</v>
      </c>
      <c r="T354" s="34">
        <v>12</v>
      </c>
      <c r="U354" s="34">
        <v>1.3333333333333339</v>
      </c>
      <c r="V354" s="34">
        <f t="shared" si="5"/>
        <v>0</v>
      </c>
    </row>
    <row r="355" spans="1:22" s="1" customFormat="1" x14ac:dyDescent="0.25">
      <c r="A355" s="33">
        <v>46118</v>
      </c>
      <c r="B355" s="9" t="s">
        <v>30</v>
      </c>
      <c r="C355" s="9" t="s">
        <v>40</v>
      </c>
      <c r="D355" s="35" t="s">
        <v>298</v>
      </c>
      <c r="E355" s="9" t="s">
        <v>299</v>
      </c>
      <c r="F355" s="35" t="s">
        <v>307</v>
      </c>
      <c r="G355" s="9" t="s">
        <v>55</v>
      </c>
      <c r="H355" s="9" t="s">
        <v>51</v>
      </c>
      <c r="I355" s="35">
        <v>6</v>
      </c>
      <c r="J355" s="9" t="s">
        <v>316</v>
      </c>
      <c r="K355" s="9">
        <v>30</v>
      </c>
      <c r="L355" s="38">
        <v>150</v>
      </c>
      <c r="M355" s="38">
        <v>4500</v>
      </c>
      <c r="N355" s="9">
        <v>75</v>
      </c>
      <c r="O355" s="9" t="s">
        <v>85</v>
      </c>
      <c r="P355" s="35">
        <v>30</v>
      </c>
      <c r="Q355" s="43"/>
      <c r="R355" s="35">
        <v>453</v>
      </c>
      <c r="S355" s="33">
        <v>46118</v>
      </c>
      <c r="T355" s="35">
        <v>80</v>
      </c>
      <c r="U355" s="35">
        <v>5</v>
      </c>
      <c r="V355" s="35">
        <f t="shared" si="5"/>
        <v>0</v>
      </c>
    </row>
    <row r="356" spans="1:22" s="4" customFormat="1" x14ac:dyDescent="0.25">
      <c r="A356" s="32">
        <v>46118</v>
      </c>
      <c r="B356" s="7" t="s">
        <v>27</v>
      </c>
      <c r="C356" s="7" t="s">
        <v>36</v>
      </c>
      <c r="D356" s="34" t="s">
        <v>298</v>
      </c>
      <c r="E356" s="7" t="s">
        <v>299</v>
      </c>
      <c r="F356" s="34" t="s">
        <v>308</v>
      </c>
      <c r="G356" s="7" t="s">
        <v>55</v>
      </c>
      <c r="H356" s="7" t="s">
        <v>48</v>
      </c>
      <c r="I356" s="34">
        <v>6</v>
      </c>
      <c r="J356" s="7" t="s">
        <v>316</v>
      </c>
      <c r="K356" s="7">
        <v>31</v>
      </c>
      <c r="L356" s="37">
        <v>150</v>
      </c>
      <c r="M356" s="37">
        <v>4650</v>
      </c>
      <c r="N356" s="7">
        <v>77.5</v>
      </c>
      <c r="O356" s="7" t="s">
        <v>85</v>
      </c>
      <c r="P356" s="34">
        <v>31</v>
      </c>
      <c r="Q356" s="44"/>
      <c r="R356" s="34">
        <v>450.5</v>
      </c>
      <c r="S356" s="32">
        <v>46118</v>
      </c>
      <c r="T356" s="34">
        <v>78</v>
      </c>
      <c r="U356" s="34">
        <v>0.5</v>
      </c>
      <c r="V356" s="34">
        <f t="shared" si="5"/>
        <v>0</v>
      </c>
    </row>
    <row r="357" spans="1:22" s="1" customFormat="1" x14ac:dyDescent="0.25">
      <c r="A357" s="33">
        <v>46118</v>
      </c>
      <c r="B357" s="9" t="s">
        <v>27</v>
      </c>
      <c r="C357" s="9" t="s">
        <v>36</v>
      </c>
      <c r="D357" s="35" t="s">
        <v>298</v>
      </c>
      <c r="E357" s="9" t="s">
        <v>299</v>
      </c>
      <c r="F357" s="35" t="s">
        <v>309</v>
      </c>
      <c r="G357" s="9" t="s">
        <v>55</v>
      </c>
      <c r="H357" s="9" t="s">
        <v>49</v>
      </c>
      <c r="I357" s="35">
        <v>6</v>
      </c>
      <c r="J357" s="9" t="s">
        <v>316</v>
      </c>
      <c r="K357" s="9">
        <v>16</v>
      </c>
      <c r="L357" s="38">
        <v>150</v>
      </c>
      <c r="M357" s="38">
        <v>2400</v>
      </c>
      <c r="N357" s="9">
        <v>40</v>
      </c>
      <c r="O357" s="9" t="s">
        <v>85</v>
      </c>
      <c r="P357" s="35">
        <v>16</v>
      </c>
      <c r="Q357" s="43"/>
      <c r="R357" s="35">
        <v>411</v>
      </c>
      <c r="S357" s="33">
        <v>46118</v>
      </c>
      <c r="T357" s="35">
        <v>42</v>
      </c>
      <c r="U357" s="35">
        <v>2</v>
      </c>
      <c r="V357" s="35">
        <f t="shared" si="5"/>
        <v>0</v>
      </c>
    </row>
    <row r="358" spans="1:22" s="4" customFormat="1" x14ac:dyDescent="0.25">
      <c r="A358" s="32">
        <v>46118</v>
      </c>
      <c r="B358" s="7" t="s">
        <v>27</v>
      </c>
      <c r="C358" s="7" t="s">
        <v>36</v>
      </c>
      <c r="D358" s="34" t="s">
        <v>298</v>
      </c>
      <c r="E358" s="7" t="s">
        <v>299</v>
      </c>
      <c r="F358" s="34" t="s">
        <v>310</v>
      </c>
      <c r="G358" s="7" t="s">
        <v>55</v>
      </c>
      <c r="H358" s="7" t="s">
        <v>50</v>
      </c>
      <c r="I358" s="34">
        <v>6</v>
      </c>
      <c r="J358" s="7" t="s">
        <v>316</v>
      </c>
      <c r="K358" s="7">
        <v>16</v>
      </c>
      <c r="L358" s="37">
        <v>150</v>
      </c>
      <c r="M358" s="37">
        <v>2400</v>
      </c>
      <c r="N358" s="7">
        <v>40</v>
      </c>
      <c r="O358" s="7" t="s">
        <v>85</v>
      </c>
      <c r="P358" s="34">
        <v>16</v>
      </c>
      <c r="Q358" s="44"/>
      <c r="R358" s="34">
        <v>371</v>
      </c>
      <c r="S358" s="32">
        <v>46118</v>
      </c>
      <c r="T358" s="34">
        <v>42</v>
      </c>
      <c r="U358" s="34">
        <v>2</v>
      </c>
      <c r="V358" s="34">
        <f t="shared" si="5"/>
        <v>0</v>
      </c>
    </row>
    <row r="359" spans="1:22" s="1" customFormat="1" x14ac:dyDescent="0.25">
      <c r="A359" s="33">
        <v>46113</v>
      </c>
      <c r="B359" s="9" t="s">
        <v>29</v>
      </c>
      <c r="C359" s="9" t="s">
        <v>38</v>
      </c>
      <c r="D359" s="35" t="s">
        <v>298</v>
      </c>
      <c r="E359" s="9" t="s">
        <v>299</v>
      </c>
      <c r="F359" s="35" t="s">
        <v>302</v>
      </c>
      <c r="G359" s="9" t="s">
        <v>301</v>
      </c>
      <c r="H359" s="9" t="s">
        <v>51</v>
      </c>
      <c r="I359" s="35">
        <v>8</v>
      </c>
      <c r="J359" s="9" t="s">
        <v>319</v>
      </c>
      <c r="K359" s="9">
        <v>9</v>
      </c>
      <c r="L359" s="38">
        <v>40</v>
      </c>
      <c r="M359" s="38">
        <v>360</v>
      </c>
      <c r="N359" s="9">
        <v>6</v>
      </c>
      <c r="O359" s="9" t="s">
        <v>85</v>
      </c>
      <c r="P359" s="35">
        <v>9</v>
      </c>
      <c r="Q359" s="43"/>
      <c r="R359" s="35">
        <v>462</v>
      </c>
      <c r="S359" s="33">
        <v>46113</v>
      </c>
      <c r="T359" s="35">
        <v>7</v>
      </c>
      <c r="U359" s="35">
        <v>1</v>
      </c>
      <c r="V359" s="35">
        <f t="shared" si="5"/>
        <v>0</v>
      </c>
    </row>
    <row r="360" spans="1:22" s="4" customFormat="1" x14ac:dyDescent="0.25">
      <c r="A360" s="32">
        <v>46113</v>
      </c>
      <c r="B360" s="7" t="s">
        <v>29</v>
      </c>
      <c r="C360" s="7" t="s">
        <v>38</v>
      </c>
      <c r="D360" s="34" t="s">
        <v>298</v>
      </c>
      <c r="E360" s="7" t="s">
        <v>299</v>
      </c>
      <c r="F360" s="34" t="s">
        <v>304</v>
      </c>
      <c r="G360" s="7" t="s">
        <v>301</v>
      </c>
      <c r="H360" s="7" t="s">
        <v>48</v>
      </c>
      <c r="I360" s="34">
        <v>8</v>
      </c>
      <c r="J360" s="7" t="s">
        <v>319</v>
      </c>
      <c r="K360" s="7">
        <v>10</v>
      </c>
      <c r="L360" s="37">
        <v>40</v>
      </c>
      <c r="M360" s="37">
        <v>400</v>
      </c>
      <c r="N360" s="7">
        <v>6.666666666666667</v>
      </c>
      <c r="O360" s="7" t="s">
        <v>85</v>
      </c>
      <c r="P360" s="34">
        <v>10</v>
      </c>
      <c r="Q360" s="44"/>
      <c r="R360" s="34">
        <v>455.33333333333331</v>
      </c>
      <c r="S360" s="32">
        <v>46113</v>
      </c>
      <c r="T360" s="34">
        <v>7</v>
      </c>
      <c r="U360" s="34">
        <v>0.33333333333333304</v>
      </c>
      <c r="V360" s="34">
        <f t="shared" si="5"/>
        <v>0</v>
      </c>
    </row>
    <row r="361" spans="1:22" s="1" customFormat="1" x14ac:dyDescent="0.25">
      <c r="A361" s="33">
        <v>46113</v>
      </c>
      <c r="B361" s="9" t="s">
        <v>29</v>
      </c>
      <c r="C361" s="9" t="s">
        <v>38</v>
      </c>
      <c r="D361" s="35" t="s">
        <v>298</v>
      </c>
      <c r="E361" s="9" t="s">
        <v>299</v>
      </c>
      <c r="F361" s="35" t="s">
        <v>305</v>
      </c>
      <c r="G361" s="9" t="s">
        <v>301</v>
      </c>
      <c r="H361" s="9" t="s">
        <v>49</v>
      </c>
      <c r="I361" s="35">
        <v>8</v>
      </c>
      <c r="J361" s="9" t="s">
        <v>319</v>
      </c>
      <c r="K361" s="9">
        <v>4</v>
      </c>
      <c r="L361" s="38">
        <v>40</v>
      </c>
      <c r="M361" s="38">
        <v>160</v>
      </c>
      <c r="N361" s="9">
        <v>2.6666666666666665</v>
      </c>
      <c r="O361" s="9" t="s">
        <v>85</v>
      </c>
      <c r="P361" s="35">
        <v>4</v>
      </c>
      <c r="Q361" s="43"/>
      <c r="R361" s="35">
        <v>453.33333333333331</v>
      </c>
      <c r="S361" s="33">
        <v>46113</v>
      </c>
      <c r="T361" s="35">
        <v>3</v>
      </c>
      <c r="U361" s="35">
        <v>0.33333333333333348</v>
      </c>
      <c r="V361" s="35">
        <f t="shared" si="5"/>
        <v>0</v>
      </c>
    </row>
    <row r="362" spans="1:22" s="4" customFormat="1" x14ac:dyDescent="0.25">
      <c r="A362" s="32">
        <v>46113</v>
      </c>
      <c r="B362" s="7" t="s">
        <v>29</v>
      </c>
      <c r="C362" s="7" t="s">
        <v>38</v>
      </c>
      <c r="D362" s="34" t="s">
        <v>298</v>
      </c>
      <c r="E362" s="7" t="s">
        <v>299</v>
      </c>
      <c r="F362" s="34" t="s">
        <v>306</v>
      </c>
      <c r="G362" s="7" t="s">
        <v>301</v>
      </c>
      <c r="H362" s="7" t="s">
        <v>50</v>
      </c>
      <c r="I362" s="34">
        <v>8</v>
      </c>
      <c r="J362" s="7" t="s">
        <v>319</v>
      </c>
      <c r="K362" s="7">
        <v>4</v>
      </c>
      <c r="L362" s="37">
        <v>40</v>
      </c>
      <c r="M362" s="37">
        <v>160</v>
      </c>
      <c r="N362" s="7">
        <v>2.6666666666666665</v>
      </c>
      <c r="O362" s="7" t="s">
        <v>85</v>
      </c>
      <c r="P362" s="34">
        <v>4</v>
      </c>
      <c r="Q362" s="44"/>
      <c r="R362" s="34">
        <v>451.33333333333331</v>
      </c>
      <c r="S362" s="32">
        <v>46113</v>
      </c>
      <c r="T362" s="34">
        <v>3</v>
      </c>
      <c r="U362" s="34">
        <v>0.33333333333333348</v>
      </c>
      <c r="V362" s="34">
        <f t="shared" si="5"/>
        <v>0</v>
      </c>
    </row>
    <row r="363" spans="1:22" s="1" customFormat="1" x14ac:dyDescent="0.25">
      <c r="A363" s="33">
        <v>46118</v>
      </c>
      <c r="B363" s="9" t="s">
        <v>29</v>
      </c>
      <c r="C363" s="9" t="s">
        <v>38</v>
      </c>
      <c r="D363" s="35" t="s">
        <v>298</v>
      </c>
      <c r="E363" s="9" t="s">
        <v>299</v>
      </c>
      <c r="F363" s="35" t="s">
        <v>307</v>
      </c>
      <c r="G363" s="9" t="s">
        <v>55</v>
      </c>
      <c r="H363" s="9" t="s">
        <v>51</v>
      </c>
      <c r="I363" s="35">
        <v>8</v>
      </c>
      <c r="J363" s="9" t="s">
        <v>319</v>
      </c>
      <c r="K363" s="9">
        <v>30</v>
      </c>
      <c r="L363" s="38">
        <v>40</v>
      </c>
      <c r="M363" s="38">
        <v>1200</v>
      </c>
      <c r="N363" s="9">
        <v>20</v>
      </c>
      <c r="O363" s="9" t="s">
        <v>85</v>
      </c>
      <c r="P363" s="35">
        <v>30</v>
      </c>
      <c r="Q363" s="43"/>
      <c r="R363" s="35">
        <v>448</v>
      </c>
      <c r="S363" s="33">
        <v>46118</v>
      </c>
      <c r="T363" s="35">
        <v>25</v>
      </c>
      <c r="U363" s="35">
        <v>5</v>
      </c>
      <c r="V363" s="35">
        <f t="shared" si="5"/>
        <v>0</v>
      </c>
    </row>
    <row r="364" spans="1:22" s="4" customFormat="1" x14ac:dyDescent="0.25">
      <c r="A364" s="32">
        <v>46118</v>
      </c>
      <c r="B364" s="7" t="s">
        <v>29</v>
      </c>
      <c r="C364" s="7" t="s">
        <v>38</v>
      </c>
      <c r="D364" s="34" t="s">
        <v>298</v>
      </c>
      <c r="E364" s="7" t="s">
        <v>299</v>
      </c>
      <c r="F364" s="34" t="s">
        <v>308</v>
      </c>
      <c r="G364" s="7" t="s">
        <v>55</v>
      </c>
      <c r="H364" s="7" t="s">
        <v>48</v>
      </c>
      <c r="I364" s="34">
        <v>8</v>
      </c>
      <c r="J364" s="7" t="s">
        <v>319</v>
      </c>
      <c r="K364" s="7">
        <v>31</v>
      </c>
      <c r="L364" s="37">
        <v>40</v>
      </c>
      <c r="M364" s="37">
        <v>1240</v>
      </c>
      <c r="N364" s="7">
        <v>20.666666666666668</v>
      </c>
      <c r="O364" s="7" t="s">
        <v>85</v>
      </c>
      <c r="P364" s="34">
        <v>31</v>
      </c>
      <c r="Q364" s="44"/>
      <c r="R364" s="34">
        <v>427.33333333333331</v>
      </c>
      <c r="S364" s="32">
        <v>46118</v>
      </c>
      <c r="T364" s="34">
        <v>22</v>
      </c>
      <c r="U364" s="34">
        <v>1.3333333333333321</v>
      </c>
      <c r="V364" s="34">
        <f t="shared" si="5"/>
        <v>0</v>
      </c>
    </row>
    <row r="365" spans="1:22" s="1" customFormat="1" x14ac:dyDescent="0.25">
      <c r="A365" s="33">
        <v>46118</v>
      </c>
      <c r="B365" s="9" t="s">
        <v>29</v>
      </c>
      <c r="C365" s="9" t="s">
        <v>38</v>
      </c>
      <c r="D365" s="35" t="s">
        <v>298</v>
      </c>
      <c r="E365" s="9" t="s">
        <v>299</v>
      </c>
      <c r="F365" s="35" t="s">
        <v>309</v>
      </c>
      <c r="G365" s="9" t="s">
        <v>55</v>
      </c>
      <c r="H365" s="9" t="s">
        <v>49</v>
      </c>
      <c r="I365" s="35">
        <v>8</v>
      </c>
      <c r="J365" s="9" t="s">
        <v>319</v>
      </c>
      <c r="K365" s="9">
        <v>16</v>
      </c>
      <c r="L365" s="38">
        <v>40</v>
      </c>
      <c r="M365" s="38">
        <v>640</v>
      </c>
      <c r="N365" s="9">
        <v>10.666666666666666</v>
      </c>
      <c r="O365" s="9" t="s">
        <v>85</v>
      </c>
      <c r="P365" s="35">
        <v>16</v>
      </c>
      <c r="Q365" s="43"/>
      <c r="R365" s="35">
        <v>417.33333333333331</v>
      </c>
      <c r="S365" s="33">
        <v>46118</v>
      </c>
      <c r="T365" s="35">
        <v>12</v>
      </c>
      <c r="U365" s="35">
        <v>1.3333333333333339</v>
      </c>
      <c r="V365" s="35">
        <f t="shared" si="5"/>
        <v>0</v>
      </c>
    </row>
    <row r="366" spans="1:22" s="4" customFormat="1" x14ac:dyDescent="0.25">
      <c r="A366" s="32">
        <v>46118</v>
      </c>
      <c r="B366" s="7" t="s">
        <v>29</v>
      </c>
      <c r="C366" s="7" t="s">
        <v>38</v>
      </c>
      <c r="D366" s="34" t="s">
        <v>298</v>
      </c>
      <c r="E366" s="7" t="s">
        <v>299</v>
      </c>
      <c r="F366" s="34" t="s">
        <v>310</v>
      </c>
      <c r="G366" s="7" t="s">
        <v>55</v>
      </c>
      <c r="H366" s="7" t="s">
        <v>50</v>
      </c>
      <c r="I366" s="34">
        <v>8</v>
      </c>
      <c r="J366" s="7" t="s">
        <v>319</v>
      </c>
      <c r="K366" s="7">
        <v>16</v>
      </c>
      <c r="L366" s="37">
        <v>40</v>
      </c>
      <c r="M366" s="37">
        <v>640</v>
      </c>
      <c r="N366" s="7">
        <v>10.666666666666666</v>
      </c>
      <c r="O366" s="7" t="s">
        <v>85</v>
      </c>
      <c r="P366" s="34">
        <v>16</v>
      </c>
      <c r="Q366" s="44"/>
      <c r="R366" s="34">
        <v>407.33333333333331</v>
      </c>
      <c r="S366" s="32">
        <v>46118</v>
      </c>
      <c r="T366" s="34">
        <v>12</v>
      </c>
      <c r="U366" s="34">
        <v>1.3333333333333339</v>
      </c>
      <c r="V366" s="34">
        <f t="shared" si="5"/>
        <v>0</v>
      </c>
    </row>
    <row r="367" spans="1:22" s="1" customFormat="1" x14ac:dyDescent="0.25">
      <c r="A367" s="33">
        <v>46113</v>
      </c>
      <c r="B367" s="9" t="s">
        <v>29</v>
      </c>
      <c r="C367" s="9" t="s">
        <v>38</v>
      </c>
      <c r="D367" s="35" t="s">
        <v>298</v>
      </c>
      <c r="E367" s="9" t="s">
        <v>299</v>
      </c>
      <c r="F367" s="35" t="s">
        <v>302</v>
      </c>
      <c r="G367" s="9" t="s">
        <v>301</v>
      </c>
      <c r="H367" s="9" t="s">
        <v>51</v>
      </c>
      <c r="I367" s="35">
        <v>9</v>
      </c>
      <c r="J367" s="9" t="s">
        <v>320</v>
      </c>
      <c r="K367" s="9">
        <v>9</v>
      </c>
      <c r="L367" s="38">
        <v>30</v>
      </c>
      <c r="M367" s="38">
        <v>270</v>
      </c>
      <c r="N367" s="9">
        <v>4.5</v>
      </c>
      <c r="O367" s="9" t="s">
        <v>85</v>
      </c>
      <c r="P367" s="35">
        <v>9</v>
      </c>
      <c r="Q367" s="43"/>
      <c r="R367" s="35">
        <v>403.5</v>
      </c>
      <c r="S367" s="33">
        <v>46113</v>
      </c>
      <c r="T367" s="35">
        <v>5</v>
      </c>
      <c r="U367" s="35">
        <v>0.5</v>
      </c>
      <c r="V367" s="35">
        <f t="shared" si="5"/>
        <v>0</v>
      </c>
    </row>
    <row r="368" spans="1:22" s="4" customFormat="1" x14ac:dyDescent="0.25">
      <c r="A368" s="32">
        <v>46113</v>
      </c>
      <c r="B368" s="7" t="s">
        <v>29</v>
      </c>
      <c r="C368" s="7" t="s">
        <v>38</v>
      </c>
      <c r="D368" s="34" t="s">
        <v>298</v>
      </c>
      <c r="E368" s="7" t="s">
        <v>299</v>
      </c>
      <c r="F368" s="34" t="s">
        <v>304</v>
      </c>
      <c r="G368" s="7" t="s">
        <v>301</v>
      </c>
      <c r="H368" s="7" t="s">
        <v>48</v>
      </c>
      <c r="I368" s="34">
        <v>9</v>
      </c>
      <c r="J368" s="7" t="s">
        <v>320</v>
      </c>
      <c r="K368" s="7">
        <v>10</v>
      </c>
      <c r="L368" s="37">
        <v>30</v>
      </c>
      <c r="M368" s="37">
        <v>300</v>
      </c>
      <c r="N368" s="7">
        <v>5</v>
      </c>
      <c r="O368" s="7" t="s">
        <v>85</v>
      </c>
      <c r="P368" s="34">
        <v>10</v>
      </c>
      <c r="Q368" s="44"/>
      <c r="R368" s="34">
        <v>399</v>
      </c>
      <c r="S368" s="32">
        <v>46113</v>
      </c>
      <c r="T368" s="34">
        <v>5</v>
      </c>
      <c r="U368" s="34">
        <v>0</v>
      </c>
      <c r="V368" s="34">
        <f t="shared" si="5"/>
        <v>0</v>
      </c>
    </row>
    <row r="369" spans="1:22" s="1" customFormat="1" x14ac:dyDescent="0.25">
      <c r="A369" s="33">
        <v>46113</v>
      </c>
      <c r="B369" s="9" t="s">
        <v>29</v>
      </c>
      <c r="C369" s="9" t="s">
        <v>38</v>
      </c>
      <c r="D369" s="35" t="s">
        <v>298</v>
      </c>
      <c r="E369" s="9" t="s">
        <v>299</v>
      </c>
      <c r="F369" s="35" t="s">
        <v>305</v>
      </c>
      <c r="G369" s="9" t="s">
        <v>301</v>
      </c>
      <c r="H369" s="9" t="s">
        <v>49</v>
      </c>
      <c r="I369" s="35">
        <v>9</v>
      </c>
      <c r="J369" s="9" t="s">
        <v>320</v>
      </c>
      <c r="K369" s="9">
        <v>4</v>
      </c>
      <c r="L369" s="38">
        <v>30</v>
      </c>
      <c r="M369" s="38">
        <v>120</v>
      </c>
      <c r="N369" s="9">
        <v>2</v>
      </c>
      <c r="O369" s="9" t="s">
        <v>85</v>
      </c>
      <c r="P369" s="35">
        <v>0</v>
      </c>
      <c r="Q369" s="43"/>
      <c r="R369" s="35">
        <v>397</v>
      </c>
      <c r="S369" s="33">
        <v>46113</v>
      </c>
      <c r="T369" s="35">
        <v>2</v>
      </c>
      <c r="U369" s="35">
        <v>0</v>
      </c>
      <c r="V369" s="35">
        <f t="shared" si="5"/>
        <v>4</v>
      </c>
    </row>
    <row r="370" spans="1:22" s="4" customFormat="1" x14ac:dyDescent="0.25">
      <c r="A370" s="32">
        <v>46113</v>
      </c>
      <c r="B370" s="7" t="s">
        <v>29</v>
      </c>
      <c r="C370" s="7" t="s">
        <v>38</v>
      </c>
      <c r="D370" s="34" t="s">
        <v>298</v>
      </c>
      <c r="E370" s="7" t="s">
        <v>299</v>
      </c>
      <c r="F370" s="34" t="s">
        <v>306</v>
      </c>
      <c r="G370" s="7" t="s">
        <v>301</v>
      </c>
      <c r="H370" s="7" t="s">
        <v>50</v>
      </c>
      <c r="I370" s="34">
        <v>9</v>
      </c>
      <c r="J370" s="7" t="s">
        <v>320</v>
      </c>
      <c r="K370" s="7">
        <v>4</v>
      </c>
      <c r="L370" s="37">
        <v>30</v>
      </c>
      <c r="M370" s="37">
        <v>120</v>
      </c>
      <c r="N370" s="7">
        <v>2</v>
      </c>
      <c r="O370" s="7" t="s">
        <v>85</v>
      </c>
      <c r="P370" s="34">
        <v>4</v>
      </c>
      <c r="Q370" s="44"/>
      <c r="R370" s="34">
        <v>395</v>
      </c>
      <c r="S370" s="32">
        <v>46113</v>
      </c>
      <c r="T370" s="34">
        <v>2</v>
      </c>
      <c r="U370" s="34">
        <v>0</v>
      </c>
      <c r="V370" s="34">
        <f t="shared" si="5"/>
        <v>0</v>
      </c>
    </row>
    <row r="371" spans="1:22" s="1" customFormat="1" x14ac:dyDescent="0.25">
      <c r="A371" s="33">
        <v>46118</v>
      </c>
      <c r="B371" s="9" t="s">
        <v>29</v>
      </c>
      <c r="C371" s="9" t="s">
        <v>38</v>
      </c>
      <c r="D371" s="35" t="s">
        <v>298</v>
      </c>
      <c r="E371" s="9" t="s">
        <v>299</v>
      </c>
      <c r="F371" s="35" t="s">
        <v>307</v>
      </c>
      <c r="G371" s="9" t="s">
        <v>55</v>
      </c>
      <c r="H371" s="9" t="s">
        <v>51</v>
      </c>
      <c r="I371" s="35">
        <v>9</v>
      </c>
      <c r="J371" s="9" t="s">
        <v>320</v>
      </c>
      <c r="K371" s="9">
        <v>30</v>
      </c>
      <c r="L371" s="38">
        <v>30</v>
      </c>
      <c r="M371" s="38">
        <v>900</v>
      </c>
      <c r="N371" s="9">
        <v>15</v>
      </c>
      <c r="O371" s="9" t="s">
        <v>85</v>
      </c>
      <c r="P371" s="35">
        <v>30</v>
      </c>
      <c r="Q371" s="43"/>
      <c r="R371" s="35">
        <v>393</v>
      </c>
      <c r="S371" s="33">
        <v>46118</v>
      </c>
      <c r="T371" s="35">
        <v>16</v>
      </c>
      <c r="U371" s="35">
        <v>1</v>
      </c>
      <c r="V371" s="35">
        <f t="shared" si="5"/>
        <v>0</v>
      </c>
    </row>
    <row r="372" spans="1:22" s="4" customFormat="1" x14ac:dyDescent="0.25">
      <c r="A372" s="32">
        <v>46118</v>
      </c>
      <c r="B372" s="7" t="s">
        <v>29</v>
      </c>
      <c r="C372" s="7" t="s">
        <v>38</v>
      </c>
      <c r="D372" s="34" t="s">
        <v>298</v>
      </c>
      <c r="E372" s="7" t="s">
        <v>299</v>
      </c>
      <c r="F372" s="34" t="s">
        <v>308</v>
      </c>
      <c r="G372" s="7" t="s">
        <v>55</v>
      </c>
      <c r="H372" s="7" t="s">
        <v>48</v>
      </c>
      <c r="I372" s="34">
        <v>9</v>
      </c>
      <c r="J372" s="7" t="s">
        <v>320</v>
      </c>
      <c r="K372" s="7">
        <v>31</v>
      </c>
      <c r="L372" s="37">
        <v>30</v>
      </c>
      <c r="M372" s="37">
        <v>930</v>
      </c>
      <c r="N372" s="7">
        <v>15.5</v>
      </c>
      <c r="O372" s="7" t="s">
        <v>85</v>
      </c>
      <c r="P372" s="34">
        <v>31</v>
      </c>
      <c r="Q372" s="44"/>
      <c r="R372" s="34">
        <v>377.5</v>
      </c>
      <c r="S372" s="32">
        <v>46118</v>
      </c>
      <c r="T372" s="34">
        <v>16</v>
      </c>
      <c r="U372" s="34">
        <v>0.5</v>
      </c>
      <c r="V372" s="34">
        <f t="shared" si="5"/>
        <v>0</v>
      </c>
    </row>
    <row r="373" spans="1:22" s="1" customFormat="1" x14ac:dyDescent="0.25">
      <c r="A373" s="33">
        <v>46118</v>
      </c>
      <c r="B373" s="9" t="s">
        <v>29</v>
      </c>
      <c r="C373" s="9" t="s">
        <v>38</v>
      </c>
      <c r="D373" s="35" t="s">
        <v>298</v>
      </c>
      <c r="E373" s="9" t="s">
        <v>299</v>
      </c>
      <c r="F373" s="35" t="s">
        <v>309</v>
      </c>
      <c r="G373" s="9" t="s">
        <v>55</v>
      </c>
      <c r="H373" s="9" t="s">
        <v>49</v>
      </c>
      <c r="I373" s="35">
        <v>9</v>
      </c>
      <c r="J373" s="9" t="s">
        <v>320</v>
      </c>
      <c r="K373" s="9">
        <v>16</v>
      </c>
      <c r="L373" s="38">
        <v>30</v>
      </c>
      <c r="M373" s="38">
        <v>480</v>
      </c>
      <c r="N373" s="9">
        <v>8</v>
      </c>
      <c r="O373" s="9" t="s">
        <v>85</v>
      </c>
      <c r="P373" s="35">
        <v>16</v>
      </c>
      <c r="Q373" s="43"/>
      <c r="R373" s="35">
        <v>370</v>
      </c>
      <c r="S373" s="33">
        <v>46118</v>
      </c>
      <c r="T373" s="35">
        <v>9</v>
      </c>
      <c r="U373" s="35">
        <v>1</v>
      </c>
      <c r="V373" s="35">
        <f t="shared" si="5"/>
        <v>0</v>
      </c>
    </row>
    <row r="374" spans="1:22" s="4" customFormat="1" x14ac:dyDescent="0.25">
      <c r="A374" s="32">
        <v>46118</v>
      </c>
      <c r="B374" s="7" t="s">
        <v>29</v>
      </c>
      <c r="C374" s="7" t="s">
        <v>38</v>
      </c>
      <c r="D374" s="34" t="s">
        <v>298</v>
      </c>
      <c r="E374" s="7" t="s">
        <v>299</v>
      </c>
      <c r="F374" s="34" t="s">
        <v>310</v>
      </c>
      <c r="G374" s="7" t="s">
        <v>55</v>
      </c>
      <c r="H374" s="7" t="s">
        <v>50</v>
      </c>
      <c r="I374" s="34">
        <v>9</v>
      </c>
      <c r="J374" s="7" t="s">
        <v>320</v>
      </c>
      <c r="K374" s="7">
        <v>16</v>
      </c>
      <c r="L374" s="37">
        <v>30</v>
      </c>
      <c r="M374" s="37">
        <v>480</v>
      </c>
      <c r="N374" s="7">
        <v>8</v>
      </c>
      <c r="O374" s="7" t="s">
        <v>85</v>
      </c>
      <c r="P374" s="34">
        <v>16</v>
      </c>
      <c r="Q374" s="44"/>
      <c r="R374" s="34">
        <v>362</v>
      </c>
      <c r="S374" s="32">
        <v>46118</v>
      </c>
      <c r="T374" s="34">
        <v>9</v>
      </c>
      <c r="U374" s="34">
        <v>1</v>
      </c>
      <c r="V374" s="34">
        <f t="shared" si="5"/>
        <v>0</v>
      </c>
    </row>
    <row r="375" spans="1:22" s="1" customFormat="1" x14ac:dyDescent="0.25">
      <c r="A375" s="33">
        <v>46118</v>
      </c>
      <c r="B375" s="9" t="s">
        <v>29</v>
      </c>
      <c r="C375" s="9" t="s">
        <v>38</v>
      </c>
      <c r="D375" s="35" t="s">
        <v>298</v>
      </c>
      <c r="E375" s="9" t="s">
        <v>299</v>
      </c>
      <c r="F375" s="35" t="s">
        <v>302</v>
      </c>
      <c r="G375" s="9" t="s">
        <v>301</v>
      </c>
      <c r="H375" s="9" t="s">
        <v>51</v>
      </c>
      <c r="I375" s="35">
        <v>11</v>
      </c>
      <c r="J375" s="9" t="s">
        <v>322</v>
      </c>
      <c r="K375" s="9">
        <v>9</v>
      </c>
      <c r="L375" s="38">
        <v>180</v>
      </c>
      <c r="M375" s="38">
        <v>1620</v>
      </c>
      <c r="N375" s="9">
        <v>27</v>
      </c>
      <c r="O375" s="9" t="s">
        <v>85</v>
      </c>
      <c r="P375" s="35">
        <v>9</v>
      </c>
      <c r="Q375" s="43"/>
      <c r="R375" s="35">
        <v>335</v>
      </c>
      <c r="S375" s="33">
        <v>46118</v>
      </c>
      <c r="T375" s="35">
        <v>28</v>
      </c>
      <c r="U375" s="35">
        <v>1</v>
      </c>
      <c r="V375" s="35">
        <f t="shared" si="5"/>
        <v>0</v>
      </c>
    </row>
    <row r="376" spans="1:22" s="4" customFormat="1" x14ac:dyDescent="0.25">
      <c r="A376" s="32">
        <v>46118</v>
      </c>
      <c r="B376" s="7" t="s">
        <v>29</v>
      </c>
      <c r="C376" s="7" t="s">
        <v>38</v>
      </c>
      <c r="D376" s="34" t="s">
        <v>298</v>
      </c>
      <c r="E376" s="7" t="s">
        <v>299</v>
      </c>
      <c r="F376" s="34" t="s">
        <v>304</v>
      </c>
      <c r="G376" s="7" t="s">
        <v>301</v>
      </c>
      <c r="H376" s="7" t="s">
        <v>48</v>
      </c>
      <c r="I376" s="34">
        <v>11</v>
      </c>
      <c r="J376" s="7" t="s">
        <v>322</v>
      </c>
      <c r="K376" s="7">
        <v>10</v>
      </c>
      <c r="L376" s="37">
        <v>180</v>
      </c>
      <c r="M376" s="37">
        <v>1800</v>
      </c>
      <c r="N376" s="7">
        <v>30</v>
      </c>
      <c r="O376" s="7" t="s">
        <v>85</v>
      </c>
      <c r="P376" s="34">
        <v>10</v>
      </c>
      <c r="Q376" s="44"/>
      <c r="R376" s="34">
        <v>305</v>
      </c>
      <c r="S376" s="32">
        <v>46118</v>
      </c>
      <c r="T376" s="34">
        <v>30</v>
      </c>
      <c r="U376" s="34">
        <v>0</v>
      </c>
      <c r="V376" s="34">
        <f t="shared" si="5"/>
        <v>0</v>
      </c>
    </row>
    <row r="377" spans="1:22" s="1" customFormat="1" x14ac:dyDescent="0.25">
      <c r="A377" s="33">
        <v>46118</v>
      </c>
      <c r="B377" s="9" t="s">
        <v>29</v>
      </c>
      <c r="C377" s="9" t="s">
        <v>38</v>
      </c>
      <c r="D377" s="35" t="s">
        <v>298</v>
      </c>
      <c r="E377" s="9" t="s">
        <v>299</v>
      </c>
      <c r="F377" s="35" t="s">
        <v>305</v>
      </c>
      <c r="G377" s="9" t="s">
        <v>301</v>
      </c>
      <c r="H377" s="9" t="s">
        <v>49</v>
      </c>
      <c r="I377" s="35">
        <v>11</v>
      </c>
      <c r="J377" s="9" t="s">
        <v>322</v>
      </c>
      <c r="K377" s="9">
        <v>4</v>
      </c>
      <c r="L377" s="38">
        <v>180</v>
      </c>
      <c r="M377" s="38">
        <v>720</v>
      </c>
      <c r="N377" s="9">
        <v>12</v>
      </c>
      <c r="O377" s="9" t="s">
        <v>85</v>
      </c>
      <c r="P377" s="35">
        <v>4</v>
      </c>
      <c r="Q377" s="43"/>
      <c r="R377" s="35">
        <v>293</v>
      </c>
      <c r="S377" s="33">
        <v>46118</v>
      </c>
      <c r="T377" s="35">
        <v>12</v>
      </c>
      <c r="U377" s="35">
        <v>0</v>
      </c>
      <c r="V377" s="35">
        <f t="shared" si="5"/>
        <v>0</v>
      </c>
    </row>
    <row r="378" spans="1:22" s="4" customFormat="1" x14ac:dyDescent="0.25">
      <c r="A378" s="32">
        <v>46118</v>
      </c>
      <c r="B378" s="7" t="s">
        <v>29</v>
      </c>
      <c r="C378" s="7" t="s">
        <v>38</v>
      </c>
      <c r="D378" s="34" t="s">
        <v>298</v>
      </c>
      <c r="E378" s="7" t="s">
        <v>299</v>
      </c>
      <c r="F378" s="34" t="s">
        <v>306</v>
      </c>
      <c r="G378" s="7" t="s">
        <v>301</v>
      </c>
      <c r="H378" s="7" t="s">
        <v>50</v>
      </c>
      <c r="I378" s="34">
        <v>11</v>
      </c>
      <c r="J378" s="7" t="s">
        <v>322</v>
      </c>
      <c r="K378" s="7">
        <v>4</v>
      </c>
      <c r="L378" s="37">
        <v>180</v>
      </c>
      <c r="M378" s="37">
        <v>720</v>
      </c>
      <c r="N378" s="7">
        <v>12</v>
      </c>
      <c r="O378" s="7" t="s">
        <v>85</v>
      </c>
      <c r="P378" s="34">
        <v>4</v>
      </c>
      <c r="Q378" s="44"/>
      <c r="R378" s="34">
        <v>281</v>
      </c>
      <c r="S378" s="32">
        <v>46118</v>
      </c>
      <c r="T378" s="34">
        <v>12</v>
      </c>
      <c r="U378" s="34">
        <v>0</v>
      </c>
      <c r="V378" s="34">
        <f t="shared" si="5"/>
        <v>0</v>
      </c>
    </row>
    <row r="379" spans="1:22" s="1" customFormat="1" x14ac:dyDescent="0.25">
      <c r="A379" s="33">
        <v>46118</v>
      </c>
      <c r="B379" s="9" t="s">
        <v>30</v>
      </c>
      <c r="C379" s="9" t="s">
        <v>40</v>
      </c>
      <c r="D379" s="35" t="s">
        <v>298</v>
      </c>
      <c r="E379" s="9" t="s">
        <v>299</v>
      </c>
      <c r="F379" s="35" t="s">
        <v>307</v>
      </c>
      <c r="G379" s="9" t="s">
        <v>55</v>
      </c>
      <c r="H379" s="9" t="s">
        <v>51</v>
      </c>
      <c r="I379" s="35">
        <v>11</v>
      </c>
      <c r="J379" s="9" t="s">
        <v>322</v>
      </c>
      <c r="K379" s="9">
        <v>30</v>
      </c>
      <c r="L379" s="38">
        <v>180</v>
      </c>
      <c r="M379" s="38">
        <v>5400</v>
      </c>
      <c r="N379" s="9">
        <v>90</v>
      </c>
      <c r="O379" s="9" t="s">
        <v>85</v>
      </c>
      <c r="P379" s="35">
        <v>30</v>
      </c>
      <c r="Q379" s="43"/>
      <c r="R379" s="35">
        <v>363</v>
      </c>
      <c r="S379" s="33">
        <v>46118</v>
      </c>
      <c r="T379" s="35">
        <v>92</v>
      </c>
      <c r="U379" s="35">
        <v>2</v>
      </c>
      <c r="V379" s="35">
        <f t="shared" si="5"/>
        <v>0</v>
      </c>
    </row>
    <row r="380" spans="1:22" s="4" customFormat="1" x14ac:dyDescent="0.25">
      <c r="A380" s="32">
        <v>46118</v>
      </c>
      <c r="B380" s="7" t="s">
        <v>30</v>
      </c>
      <c r="C380" s="7" t="s">
        <v>40</v>
      </c>
      <c r="D380" s="34" t="s">
        <v>298</v>
      </c>
      <c r="E380" s="7" t="s">
        <v>299</v>
      </c>
      <c r="F380" s="34" t="s">
        <v>308</v>
      </c>
      <c r="G380" s="7" t="s">
        <v>55</v>
      </c>
      <c r="H380" s="7" t="s">
        <v>48</v>
      </c>
      <c r="I380" s="34">
        <v>11</v>
      </c>
      <c r="J380" s="7" t="s">
        <v>322</v>
      </c>
      <c r="K380" s="7">
        <v>31</v>
      </c>
      <c r="L380" s="37">
        <v>180</v>
      </c>
      <c r="M380" s="37">
        <v>5580</v>
      </c>
      <c r="N380" s="7">
        <v>93</v>
      </c>
      <c r="O380" s="7" t="s">
        <v>85</v>
      </c>
      <c r="P380" s="34">
        <v>31</v>
      </c>
      <c r="Q380" s="44"/>
      <c r="R380" s="34">
        <v>270</v>
      </c>
      <c r="S380" s="32">
        <v>46118</v>
      </c>
      <c r="T380" s="34">
        <v>95</v>
      </c>
      <c r="U380" s="34">
        <v>2</v>
      </c>
      <c r="V380" s="34">
        <f t="shared" si="5"/>
        <v>0</v>
      </c>
    </row>
    <row r="381" spans="1:22" s="1" customFormat="1" x14ac:dyDescent="0.25">
      <c r="A381" s="33">
        <v>46118</v>
      </c>
      <c r="B381" s="9" t="s">
        <v>30</v>
      </c>
      <c r="C381" s="9" t="s">
        <v>40</v>
      </c>
      <c r="D381" s="35" t="s">
        <v>298</v>
      </c>
      <c r="E381" s="9" t="s">
        <v>299</v>
      </c>
      <c r="F381" s="35" t="s">
        <v>309</v>
      </c>
      <c r="G381" s="9" t="s">
        <v>55</v>
      </c>
      <c r="H381" s="9" t="s">
        <v>49</v>
      </c>
      <c r="I381" s="35">
        <v>11</v>
      </c>
      <c r="J381" s="9" t="s">
        <v>322</v>
      </c>
      <c r="K381" s="9">
        <v>16</v>
      </c>
      <c r="L381" s="38">
        <v>180</v>
      </c>
      <c r="M381" s="38">
        <v>2880</v>
      </c>
      <c r="N381" s="9">
        <v>48</v>
      </c>
      <c r="O381" s="9" t="s">
        <v>85</v>
      </c>
      <c r="P381" s="35">
        <v>16</v>
      </c>
      <c r="Q381" s="43"/>
      <c r="R381" s="35">
        <v>222</v>
      </c>
      <c r="S381" s="33">
        <v>46118</v>
      </c>
      <c r="T381" s="35">
        <v>49</v>
      </c>
      <c r="U381" s="35">
        <v>1</v>
      </c>
      <c r="V381" s="35">
        <f t="shared" si="5"/>
        <v>0</v>
      </c>
    </row>
    <row r="382" spans="1:22" s="4" customFormat="1" x14ac:dyDescent="0.25">
      <c r="A382" s="32">
        <v>46118</v>
      </c>
      <c r="B382" s="7" t="s">
        <v>27</v>
      </c>
      <c r="C382" s="7" t="s">
        <v>36</v>
      </c>
      <c r="D382" s="34" t="s">
        <v>298</v>
      </c>
      <c r="E382" s="7" t="s">
        <v>299</v>
      </c>
      <c r="F382" s="34" t="s">
        <v>310</v>
      </c>
      <c r="G382" s="7" t="s">
        <v>55</v>
      </c>
      <c r="H382" s="7" t="s">
        <v>50</v>
      </c>
      <c r="I382" s="34">
        <v>11</v>
      </c>
      <c r="J382" s="7" t="s">
        <v>322</v>
      </c>
      <c r="K382" s="7">
        <v>16</v>
      </c>
      <c r="L382" s="37">
        <v>180</v>
      </c>
      <c r="M382" s="37">
        <v>2880</v>
      </c>
      <c r="N382" s="7">
        <v>48</v>
      </c>
      <c r="O382" s="7" t="s">
        <v>85</v>
      </c>
      <c r="P382" s="34">
        <v>16</v>
      </c>
      <c r="Q382" s="44"/>
      <c r="R382" s="34">
        <v>323</v>
      </c>
      <c r="S382" s="32">
        <v>46118</v>
      </c>
      <c r="T382" s="34">
        <v>49</v>
      </c>
      <c r="U382" s="34">
        <v>1</v>
      </c>
      <c r="V382" s="34">
        <f t="shared" si="5"/>
        <v>0</v>
      </c>
    </row>
    <row r="383" spans="1:22" s="1" customFormat="1" x14ac:dyDescent="0.25">
      <c r="A383" s="33">
        <v>46118</v>
      </c>
      <c r="B383" s="9" t="s">
        <v>29</v>
      </c>
      <c r="C383" s="9" t="s">
        <v>38</v>
      </c>
      <c r="D383" s="35" t="s">
        <v>298</v>
      </c>
      <c r="E383" s="9" t="s">
        <v>299</v>
      </c>
      <c r="F383" s="35" t="s">
        <v>302</v>
      </c>
      <c r="G383" s="9" t="s">
        <v>301</v>
      </c>
      <c r="H383" s="9" t="s">
        <v>51</v>
      </c>
      <c r="I383" s="35">
        <v>12</v>
      </c>
      <c r="J383" s="9" t="s">
        <v>324</v>
      </c>
      <c r="K383" s="9">
        <v>9</v>
      </c>
      <c r="L383" s="38">
        <v>40</v>
      </c>
      <c r="M383" s="38">
        <v>360</v>
      </c>
      <c r="N383" s="9">
        <v>6</v>
      </c>
      <c r="O383" s="9" t="s">
        <v>85</v>
      </c>
      <c r="P383" s="35">
        <v>9</v>
      </c>
      <c r="Q383" s="43"/>
      <c r="R383" s="35">
        <v>275</v>
      </c>
      <c r="S383" s="33">
        <v>46118</v>
      </c>
      <c r="T383" s="35">
        <v>7</v>
      </c>
      <c r="U383" s="35">
        <v>1</v>
      </c>
      <c r="V383" s="35">
        <f t="shared" si="5"/>
        <v>0</v>
      </c>
    </row>
    <row r="384" spans="1:22" s="4" customFormat="1" x14ac:dyDescent="0.25">
      <c r="A384" s="32">
        <v>46118</v>
      </c>
      <c r="B384" s="7" t="s">
        <v>29</v>
      </c>
      <c r="C384" s="7" t="s">
        <v>38</v>
      </c>
      <c r="D384" s="34" t="s">
        <v>298</v>
      </c>
      <c r="E384" s="7" t="s">
        <v>299</v>
      </c>
      <c r="F384" s="34" t="s">
        <v>304</v>
      </c>
      <c r="G384" s="7" t="s">
        <v>301</v>
      </c>
      <c r="H384" s="7" t="s">
        <v>48</v>
      </c>
      <c r="I384" s="34">
        <v>12</v>
      </c>
      <c r="J384" s="7" t="s">
        <v>324</v>
      </c>
      <c r="K384" s="7">
        <v>10</v>
      </c>
      <c r="L384" s="37">
        <v>40</v>
      </c>
      <c r="M384" s="37">
        <v>400</v>
      </c>
      <c r="N384" s="7">
        <v>6.666666666666667</v>
      </c>
      <c r="O384" s="7" t="s">
        <v>85</v>
      </c>
      <c r="P384" s="34">
        <v>10</v>
      </c>
      <c r="Q384" s="44"/>
      <c r="R384" s="34">
        <v>268.33333333333331</v>
      </c>
      <c r="S384" s="32">
        <v>46118</v>
      </c>
      <c r="T384" s="34">
        <v>7</v>
      </c>
      <c r="U384" s="34">
        <v>0.33333333333333304</v>
      </c>
      <c r="V384" s="34">
        <f t="shared" si="5"/>
        <v>0</v>
      </c>
    </row>
    <row r="385" spans="1:22" s="1" customFormat="1" x14ac:dyDescent="0.25">
      <c r="A385" s="33">
        <v>46118</v>
      </c>
      <c r="B385" s="9" t="s">
        <v>29</v>
      </c>
      <c r="C385" s="9" t="s">
        <v>38</v>
      </c>
      <c r="D385" s="35" t="s">
        <v>298</v>
      </c>
      <c r="E385" s="9" t="s">
        <v>299</v>
      </c>
      <c r="F385" s="35" t="s">
        <v>305</v>
      </c>
      <c r="G385" s="9" t="s">
        <v>301</v>
      </c>
      <c r="H385" s="9" t="s">
        <v>49</v>
      </c>
      <c r="I385" s="35">
        <v>12</v>
      </c>
      <c r="J385" s="9" t="s">
        <v>324</v>
      </c>
      <c r="K385" s="9">
        <v>4</v>
      </c>
      <c r="L385" s="38">
        <v>40</v>
      </c>
      <c r="M385" s="38">
        <v>160</v>
      </c>
      <c r="N385" s="9">
        <v>2.6666666666666665</v>
      </c>
      <c r="O385" s="9" t="s">
        <v>85</v>
      </c>
      <c r="P385" s="35">
        <v>4</v>
      </c>
      <c r="Q385" s="43"/>
      <c r="R385" s="35">
        <v>266.33333333333331</v>
      </c>
      <c r="S385" s="33">
        <v>46118</v>
      </c>
      <c r="T385" s="35">
        <v>3</v>
      </c>
      <c r="U385" s="35">
        <v>0.33333333333333348</v>
      </c>
      <c r="V385" s="35">
        <f t="shared" si="5"/>
        <v>0</v>
      </c>
    </row>
    <row r="386" spans="1:22" s="4" customFormat="1" x14ac:dyDescent="0.25">
      <c r="A386" s="32">
        <v>46118</v>
      </c>
      <c r="B386" s="7" t="s">
        <v>29</v>
      </c>
      <c r="C386" s="7" t="s">
        <v>38</v>
      </c>
      <c r="D386" s="34" t="s">
        <v>298</v>
      </c>
      <c r="E386" s="7" t="s">
        <v>299</v>
      </c>
      <c r="F386" s="34" t="s">
        <v>306</v>
      </c>
      <c r="G386" s="7" t="s">
        <v>301</v>
      </c>
      <c r="H386" s="7" t="s">
        <v>50</v>
      </c>
      <c r="I386" s="34">
        <v>12</v>
      </c>
      <c r="J386" s="7" t="s">
        <v>324</v>
      </c>
      <c r="K386" s="7">
        <v>4</v>
      </c>
      <c r="L386" s="37">
        <v>40</v>
      </c>
      <c r="M386" s="37">
        <v>160</v>
      </c>
      <c r="N386" s="7">
        <v>2.6666666666666665</v>
      </c>
      <c r="O386" s="7" t="s">
        <v>85</v>
      </c>
      <c r="P386" s="34">
        <v>4</v>
      </c>
      <c r="Q386" s="44"/>
      <c r="R386" s="34">
        <v>264.33333333333331</v>
      </c>
      <c r="S386" s="32">
        <v>46118</v>
      </c>
      <c r="T386" s="34">
        <v>3</v>
      </c>
      <c r="U386" s="34">
        <v>0.33333333333333348</v>
      </c>
      <c r="V386" s="34">
        <f t="shared" si="5"/>
        <v>0</v>
      </c>
    </row>
    <row r="387" spans="1:22" s="1" customFormat="1" x14ac:dyDescent="0.25">
      <c r="A387" s="33">
        <v>46118</v>
      </c>
      <c r="B387" s="9" t="s">
        <v>29</v>
      </c>
      <c r="C387" s="9" t="s">
        <v>38</v>
      </c>
      <c r="D387" s="35" t="s">
        <v>298</v>
      </c>
      <c r="E387" s="9" t="s">
        <v>299</v>
      </c>
      <c r="F387" s="35" t="s">
        <v>307</v>
      </c>
      <c r="G387" s="9" t="s">
        <v>55</v>
      </c>
      <c r="H387" s="9" t="s">
        <v>51</v>
      </c>
      <c r="I387" s="35">
        <v>12</v>
      </c>
      <c r="J387" s="9" t="s">
        <v>324</v>
      </c>
      <c r="K387" s="9">
        <v>30</v>
      </c>
      <c r="L387" s="38">
        <v>40</v>
      </c>
      <c r="M387" s="38">
        <v>1200</v>
      </c>
      <c r="N387" s="9">
        <v>20</v>
      </c>
      <c r="O387" s="9" t="s">
        <v>85</v>
      </c>
      <c r="P387" s="35">
        <v>30</v>
      </c>
      <c r="Q387" s="43"/>
      <c r="R387" s="35">
        <v>245</v>
      </c>
      <c r="S387" s="33">
        <v>46118</v>
      </c>
      <c r="T387" s="35">
        <v>22</v>
      </c>
      <c r="U387" s="35">
        <v>2</v>
      </c>
      <c r="V387" s="35">
        <f t="shared" si="5"/>
        <v>0</v>
      </c>
    </row>
    <row r="388" spans="1:22" s="4" customFormat="1" x14ac:dyDescent="0.25">
      <c r="A388" s="32">
        <v>46118</v>
      </c>
      <c r="B388" s="7" t="s">
        <v>29</v>
      </c>
      <c r="C388" s="7" t="s">
        <v>38</v>
      </c>
      <c r="D388" s="34" t="s">
        <v>298</v>
      </c>
      <c r="E388" s="7" t="s">
        <v>299</v>
      </c>
      <c r="F388" s="34" t="s">
        <v>308</v>
      </c>
      <c r="G388" s="7" t="s">
        <v>55</v>
      </c>
      <c r="H388" s="7" t="s">
        <v>48</v>
      </c>
      <c r="I388" s="34">
        <v>12</v>
      </c>
      <c r="J388" s="7" t="s">
        <v>324</v>
      </c>
      <c r="K388" s="7">
        <v>31</v>
      </c>
      <c r="L388" s="37">
        <v>40</v>
      </c>
      <c r="M388" s="37">
        <v>1240</v>
      </c>
      <c r="N388" s="7">
        <v>20.666666666666668</v>
      </c>
      <c r="O388" s="7" t="s">
        <v>85</v>
      </c>
      <c r="P388" s="34">
        <v>31</v>
      </c>
      <c r="Q388" s="44"/>
      <c r="R388" s="34">
        <v>224.33333333333334</v>
      </c>
      <c r="S388" s="32">
        <v>46118</v>
      </c>
      <c r="T388" s="34">
        <v>22</v>
      </c>
      <c r="U388" s="34">
        <v>1.3333333333333321</v>
      </c>
      <c r="V388" s="34">
        <f t="shared" si="5"/>
        <v>0</v>
      </c>
    </row>
    <row r="389" spans="1:22" s="1" customFormat="1" x14ac:dyDescent="0.25">
      <c r="A389" s="33">
        <v>46118</v>
      </c>
      <c r="B389" s="9" t="s">
        <v>29</v>
      </c>
      <c r="C389" s="9" t="s">
        <v>38</v>
      </c>
      <c r="D389" s="35" t="s">
        <v>298</v>
      </c>
      <c r="E389" s="9" t="s">
        <v>299</v>
      </c>
      <c r="F389" s="35" t="s">
        <v>309</v>
      </c>
      <c r="G389" s="9" t="s">
        <v>55</v>
      </c>
      <c r="H389" s="9" t="s">
        <v>49</v>
      </c>
      <c r="I389" s="35">
        <v>12</v>
      </c>
      <c r="J389" s="9" t="s">
        <v>324</v>
      </c>
      <c r="K389" s="9">
        <v>16</v>
      </c>
      <c r="L389" s="38">
        <v>40</v>
      </c>
      <c r="M389" s="38">
        <v>640</v>
      </c>
      <c r="N389" s="9">
        <v>10.666666666666666</v>
      </c>
      <c r="O389" s="9" t="s">
        <v>85</v>
      </c>
      <c r="P389" s="35">
        <v>16</v>
      </c>
      <c r="Q389" s="43"/>
      <c r="R389" s="35">
        <v>214.33333333333334</v>
      </c>
      <c r="S389" s="33">
        <v>46118</v>
      </c>
      <c r="T389" s="35">
        <v>12</v>
      </c>
      <c r="U389" s="35">
        <v>1.3333333333333339</v>
      </c>
      <c r="V389" s="35">
        <f t="shared" ref="V389:V452" si="6">+K389-P389</f>
        <v>0</v>
      </c>
    </row>
    <row r="390" spans="1:22" s="4" customFormat="1" x14ac:dyDescent="0.25">
      <c r="A390" s="32">
        <v>46118</v>
      </c>
      <c r="B390" s="7" t="s">
        <v>29</v>
      </c>
      <c r="C390" s="7" t="s">
        <v>38</v>
      </c>
      <c r="D390" s="34" t="s">
        <v>298</v>
      </c>
      <c r="E390" s="7" t="s">
        <v>299</v>
      </c>
      <c r="F390" s="34" t="s">
        <v>310</v>
      </c>
      <c r="G390" s="7" t="s">
        <v>55</v>
      </c>
      <c r="H390" s="7" t="s">
        <v>50</v>
      </c>
      <c r="I390" s="34">
        <v>12</v>
      </c>
      <c r="J390" s="7" t="s">
        <v>324</v>
      </c>
      <c r="K390" s="7">
        <v>16</v>
      </c>
      <c r="L390" s="37">
        <v>40</v>
      </c>
      <c r="M390" s="37">
        <v>640</v>
      </c>
      <c r="N390" s="7">
        <v>10.666666666666666</v>
      </c>
      <c r="O390" s="7" t="s">
        <v>85</v>
      </c>
      <c r="P390" s="34">
        <v>16</v>
      </c>
      <c r="Q390" s="44"/>
      <c r="R390" s="34">
        <v>204.33333333333334</v>
      </c>
      <c r="S390" s="32">
        <v>46118</v>
      </c>
      <c r="T390" s="34">
        <v>12</v>
      </c>
      <c r="U390" s="34">
        <v>1.3333333333333339</v>
      </c>
      <c r="V390" s="34">
        <f t="shared" si="6"/>
        <v>0</v>
      </c>
    </row>
    <row r="391" spans="1:22" s="1" customFormat="1" x14ac:dyDescent="0.25">
      <c r="A391" s="33">
        <v>46118</v>
      </c>
      <c r="B391" s="9" t="s">
        <v>30</v>
      </c>
      <c r="C391" s="9" t="s">
        <v>40</v>
      </c>
      <c r="D391" s="35" t="s">
        <v>298</v>
      </c>
      <c r="E391" s="9" t="s">
        <v>299</v>
      </c>
      <c r="F391" s="35" t="s">
        <v>307</v>
      </c>
      <c r="G391" s="9" t="s">
        <v>55</v>
      </c>
      <c r="H391" s="9" t="s">
        <v>51</v>
      </c>
      <c r="I391" s="35">
        <v>5</v>
      </c>
      <c r="J391" s="9" t="s">
        <v>315</v>
      </c>
      <c r="K391" s="9">
        <v>30</v>
      </c>
      <c r="L391" s="38">
        <v>40</v>
      </c>
      <c r="M391" s="38">
        <v>1200</v>
      </c>
      <c r="N391" s="9">
        <v>20</v>
      </c>
      <c r="O391" s="9" t="s">
        <v>85</v>
      </c>
      <c r="P391" s="35">
        <v>30</v>
      </c>
      <c r="Q391" s="43"/>
      <c r="R391" s="35">
        <v>202</v>
      </c>
      <c r="S391" s="33">
        <v>46118</v>
      </c>
      <c r="T391" s="35">
        <v>22</v>
      </c>
      <c r="U391" s="35">
        <v>2</v>
      </c>
      <c r="V391" s="35">
        <f t="shared" si="6"/>
        <v>0</v>
      </c>
    </row>
    <row r="392" spans="1:22" s="4" customFormat="1" x14ac:dyDescent="0.25">
      <c r="A392" s="32">
        <v>46118</v>
      </c>
      <c r="B392" s="7" t="s">
        <v>30</v>
      </c>
      <c r="C392" s="7" t="s">
        <v>40</v>
      </c>
      <c r="D392" s="34" t="s">
        <v>298</v>
      </c>
      <c r="E392" s="7" t="s">
        <v>299</v>
      </c>
      <c r="F392" s="34" t="s">
        <v>308</v>
      </c>
      <c r="G392" s="7" t="s">
        <v>55</v>
      </c>
      <c r="H392" s="7" t="s">
        <v>48</v>
      </c>
      <c r="I392" s="34">
        <v>5</v>
      </c>
      <c r="J392" s="7" t="s">
        <v>315</v>
      </c>
      <c r="K392" s="7">
        <v>31</v>
      </c>
      <c r="L392" s="37">
        <v>40</v>
      </c>
      <c r="M392" s="37">
        <v>1240</v>
      </c>
      <c r="N392" s="7">
        <v>20.666666666666668</v>
      </c>
      <c r="O392" s="7" t="s">
        <v>85</v>
      </c>
      <c r="P392" s="34">
        <v>31</v>
      </c>
      <c r="Q392" s="44"/>
      <c r="R392" s="34">
        <v>181.33333333333334</v>
      </c>
      <c r="S392" s="32">
        <v>46118</v>
      </c>
      <c r="T392" s="34">
        <v>22</v>
      </c>
      <c r="U392" s="34">
        <v>1.3333333333333321</v>
      </c>
      <c r="V392" s="34">
        <f t="shared" si="6"/>
        <v>0</v>
      </c>
    </row>
    <row r="393" spans="1:22" s="1" customFormat="1" x14ac:dyDescent="0.25">
      <c r="A393" s="33">
        <v>46118</v>
      </c>
      <c r="B393" s="9" t="s">
        <v>30</v>
      </c>
      <c r="C393" s="9" t="s">
        <v>40</v>
      </c>
      <c r="D393" s="35" t="s">
        <v>298</v>
      </c>
      <c r="E393" s="9" t="s">
        <v>299</v>
      </c>
      <c r="F393" s="35" t="s">
        <v>309</v>
      </c>
      <c r="G393" s="9" t="s">
        <v>55</v>
      </c>
      <c r="H393" s="9" t="s">
        <v>49</v>
      </c>
      <c r="I393" s="35">
        <v>5</v>
      </c>
      <c r="J393" s="9" t="s">
        <v>315</v>
      </c>
      <c r="K393" s="9">
        <v>16</v>
      </c>
      <c r="L393" s="38">
        <v>40</v>
      </c>
      <c r="M393" s="38">
        <v>640</v>
      </c>
      <c r="N393" s="9">
        <v>10.666666666666666</v>
      </c>
      <c r="O393" s="9" t="s">
        <v>85</v>
      </c>
      <c r="P393" s="35">
        <v>16</v>
      </c>
      <c r="Q393" s="43"/>
      <c r="R393" s="35">
        <v>171.33333333333334</v>
      </c>
      <c r="S393" s="33">
        <v>46118</v>
      </c>
      <c r="T393" s="35">
        <v>12</v>
      </c>
      <c r="U393" s="35">
        <v>1.3333333333333339</v>
      </c>
      <c r="V393" s="35">
        <f t="shared" si="6"/>
        <v>0</v>
      </c>
    </row>
    <row r="394" spans="1:22" s="4" customFormat="1" x14ac:dyDescent="0.25">
      <c r="A394" s="32">
        <v>46118</v>
      </c>
      <c r="B394" s="7" t="s">
        <v>30</v>
      </c>
      <c r="C394" s="7" t="s">
        <v>40</v>
      </c>
      <c r="D394" s="34" t="s">
        <v>298</v>
      </c>
      <c r="E394" s="7" t="s">
        <v>299</v>
      </c>
      <c r="F394" s="34" t="s">
        <v>310</v>
      </c>
      <c r="G394" s="7" t="s">
        <v>55</v>
      </c>
      <c r="H394" s="7" t="s">
        <v>50</v>
      </c>
      <c r="I394" s="34">
        <v>5</v>
      </c>
      <c r="J394" s="7" t="s">
        <v>315</v>
      </c>
      <c r="K394" s="7">
        <v>16</v>
      </c>
      <c r="L394" s="37">
        <v>40</v>
      </c>
      <c r="M394" s="37">
        <v>640</v>
      </c>
      <c r="N394" s="7">
        <v>10.666666666666666</v>
      </c>
      <c r="O394" s="7" t="s">
        <v>85</v>
      </c>
      <c r="P394" s="34">
        <v>16</v>
      </c>
      <c r="Q394" s="44"/>
      <c r="R394" s="34">
        <v>161.33333333333334</v>
      </c>
      <c r="S394" s="32">
        <v>46118</v>
      </c>
      <c r="T394" s="34">
        <v>12</v>
      </c>
      <c r="U394" s="34">
        <v>1.3333333333333339</v>
      </c>
      <c r="V394" s="34">
        <f t="shared" si="6"/>
        <v>0</v>
      </c>
    </row>
    <row r="395" spans="1:22" s="1" customFormat="1" x14ac:dyDescent="0.25">
      <c r="A395" s="33">
        <v>46119</v>
      </c>
      <c r="B395" s="9" t="s">
        <v>30</v>
      </c>
      <c r="C395" s="9" t="s">
        <v>40</v>
      </c>
      <c r="D395" s="35" t="s">
        <v>329</v>
      </c>
      <c r="E395" s="9" t="s">
        <v>330</v>
      </c>
      <c r="F395" s="35" t="s">
        <v>352</v>
      </c>
      <c r="G395" s="9" t="s">
        <v>332</v>
      </c>
      <c r="H395" s="9" t="s">
        <v>51</v>
      </c>
      <c r="I395" s="35">
        <v>1</v>
      </c>
      <c r="J395" s="9" t="s">
        <v>312</v>
      </c>
      <c r="K395" s="9">
        <v>58</v>
      </c>
      <c r="L395" s="38">
        <v>40</v>
      </c>
      <c r="M395" s="38">
        <v>2320</v>
      </c>
      <c r="N395" s="9">
        <v>38.666666666666664</v>
      </c>
      <c r="O395" s="9" t="s">
        <v>85</v>
      </c>
      <c r="P395" s="35">
        <v>58</v>
      </c>
      <c r="Q395" s="43"/>
      <c r="R395" s="35">
        <v>489.33333333333331</v>
      </c>
      <c r="S395" s="33">
        <v>46119</v>
      </c>
      <c r="T395" s="35">
        <v>40</v>
      </c>
      <c r="U395" s="35">
        <v>1.3333333333333357</v>
      </c>
      <c r="V395" s="35">
        <f t="shared" si="6"/>
        <v>0</v>
      </c>
    </row>
    <row r="396" spans="1:22" s="4" customFormat="1" x14ac:dyDescent="0.25">
      <c r="A396" s="32">
        <v>46119</v>
      </c>
      <c r="B396" s="7" t="s">
        <v>27</v>
      </c>
      <c r="C396" s="7" t="s">
        <v>36</v>
      </c>
      <c r="D396" s="34" t="s">
        <v>329</v>
      </c>
      <c r="E396" s="7" t="s">
        <v>330</v>
      </c>
      <c r="F396" s="34" t="s">
        <v>352</v>
      </c>
      <c r="G396" s="7" t="s">
        <v>332</v>
      </c>
      <c r="H396" s="7" t="s">
        <v>51</v>
      </c>
      <c r="I396" s="34">
        <v>2</v>
      </c>
      <c r="J396" s="7" t="s">
        <v>314</v>
      </c>
      <c r="K396" s="7">
        <v>58</v>
      </c>
      <c r="L396" s="37">
        <v>90</v>
      </c>
      <c r="M396" s="37">
        <v>5220</v>
      </c>
      <c r="N396" s="7">
        <v>87</v>
      </c>
      <c r="O396" s="7" t="s">
        <v>85</v>
      </c>
      <c r="P396" s="34">
        <v>58</v>
      </c>
      <c r="Q396" s="44"/>
      <c r="R396" s="34">
        <v>403</v>
      </c>
      <c r="S396" s="32">
        <v>46119</v>
      </c>
      <c r="T396" s="34">
        <v>90</v>
      </c>
      <c r="U396" s="34">
        <v>3</v>
      </c>
      <c r="V396" s="34">
        <f t="shared" si="6"/>
        <v>0</v>
      </c>
    </row>
    <row r="397" spans="1:22" s="1" customFormat="1" x14ac:dyDescent="0.25">
      <c r="A397" s="33">
        <v>46119</v>
      </c>
      <c r="B397" s="9" t="s">
        <v>27</v>
      </c>
      <c r="C397" s="9" t="s">
        <v>36</v>
      </c>
      <c r="D397" s="35" t="s">
        <v>329</v>
      </c>
      <c r="E397" s="9" t="s">
        <v>330</v>
      </c>
      <c r="F397" s="35" t="s">
        <v>352</v>
      </c>
      <c r="G397" s="9" t="s">
        <v>332</v>
      </c>
      <c r="H397" s="9" t="s">
        <v>51</v>
      </c>
      <c r="I397" s="35">
        <v>3</v>
      </c>
      <c r="J397" s="9" t="s">
        <v>336</v>
      </c>
      <c r="K397" s="9">
        <v>58</v>
      </c>
      <c r="L397" s="38">
        <v>100</v>
      </c>
      <c r="M397" s="38">
        <v>5800</v>
      </c>
      <c r="N397" s="9">
        <v>96.666666666666671</v>
      </c>
      <c r="O397" s="9" t="s">
        <v>85</v>
      </c>
      <c r="P397" s="35">
        <v>58</v>
      </c>
      <c r="Q397" s="43"/>
      <c r="R397" s="35">
        <v>306.33333333333331</v>
      </c>
      <c r="S397" s="33">
        <v>46119</v>
      </c>
      <c r="T397" s="35">
        <v>98</v>
      </c>
      <c r="U397" s="35">
        <v>1.3333333333333286</v>
      </c>
      <c r="V397" s="35">
        <f t="shared" si="6"/>
        <v>0</v>
      </c>
    </row>
    <row r="398" spans="1:22" s="4" customFormat="1" x14ac:dyDescent="0.25">
      <c r="A398" s="32">
        <v>46119</v>
      </c>
      <c r="B398" s="7" t="s">
        <v>29</v>
      </c>
      <c r="C398" s="7" t="s">
        <v>38</v>
      </c>
      <c r="D398" s="34" t="s">
        <v>329</v>
      </c>
      <c r="E398" s="7" t="s">
        <v>330</v>
      </c>
      <c r="F398" s="34" t="s">
        <v>352</v>
      </c>
      <c r="G398" s="7" t="s">
        <v>332</v>
      </c>
      <c r="H398" s="7" t="s">
        <v>51</v>
      </c>
      <c r="I398" s="34">
        <v>4</v>
      </c>
      <c r="J398" s="7" t="s">
        <v>338</v>
      </c>
      <c r="K398" s="7">
        <v>58</v>
      </c>
      <c r="L398" s="37">
        <v>60</v>
      </c>
      <c r="M398" s="37">
        <v>3480</v>
      </c>
      <c r="N398" s="7">
        <v>58</v>
      </c>
      <c r="O398" s="7" t="s">
        <v>85</v>
      </c>
      <c r="P398" s="34">
        <v>58</v>
      </c>
      <c r="Q398" s="44"/>
      <c r="R398" s="34">
        <v>470</v>
      </c>
      <c r="S398" s="32">
        <v>46119</v>
      </c>
      <c r="T398" s="34">
        <v>58</v>
      </c>
      <c r="U398" s="34">
        <v>0</v>
      </c>
      <c r="V398" s="34">
        <f t="shared" si="6"/>
        <v>0</v>
      </c>
    </row>
    <row r="399" spans="1:22" s="1" customFormat="1" x14ac:dyDescent="0.25">
      <c r="A399" s="33">
        <v>46119</v>
      </c>
      <c r="B399" s="9" t="s">
        <v>29</v>
      </c>
      <c r="C399" s="9" t="s">
        <v>38</v>
      </c>
      <c r="D399" s="35" t="s">
        <v>329</v>
      </c>
      <c r="E399" s="9" t="s">
        <v>330</v>
      </c>
      <c r="F399" s="35" t="s">
        <v>352</v>
      </c>
      <c r="G399" s="9" t="s">
        <v>332</v>
      </c>
      <c r="H399" s="9" t="s">
        <v>51</v>
      </c>
      <c r="I399" s="35">
        <v>5</v>
      </c>
      <c r="J399" s="9" t="s">
        <v>340</v>
      </c>
      <c r="K399" s="9">
        <v>58</v>
      </c>
      <c r="L399" s="38">
        <v>40</v>
      </c>
      <c r="M399" s="38">
        <v>2320</v>
      </c>
      <c r="N399" s="9">
        <v>38.666666666666664</v>
      </c>
      <c r="O399" s="9" t="s">
        <v>85</v>
      </c>
      <c r="P399" s="35">
        <v>58</v>
      </c>
      <c r="Q399" s="43"/>
      <c r="R399" s="35">
        <v>431.33333333333331</v>
      </c>
      <c r="S399" s="33">
        <v>46119</v>
      </c>
      <c r="T399" s="35">
        <v>39</v>
      </c>
      <c r="U399" s="35">
        <v>0.3333333333333357</v>
      </c>
      <c r="V399" s="35">
        <f t="shared" si="6"/>
        <v>0</v>
      </c>
    </row>
    <row r="400" spans="1:22" s="4" customFormat="1" x14ac:dyDescent="0.25">
      <c r="A400" s="32">
        <v>46119</v>
      </c>
      <c r="B400" s="7" t="s">
        <v>29</v>
      </c>
      <c r="C400" s="7" t="s">
        <v>38</v>
      </c>
      <c r="D400" s="34" t="s">
        <v>329</v>
      </c>
      <c r="E400" s="7" t="s">
        <v>330</v>
      </c>
      <c r="F400" s="34" t="s">
        <v>352</v>
      </c>
      <c r="G400" s="7" t="s">
        <v>332</v>
      </c>
      <c r="H400" s="7" t="s">
        <v>51</v>
      </c>
      <c r="I400" s="34">
        <v>6</v>
      </c>
      <c r="J400" s="7" t="s">
        <v>342</v>
      </c>
      <c r="K400" s="7">
        <v>58</v>
      </c>
      <c r="L400" s="37">
        <v>65</v>
      </c>
      <c r="M400" s="37">
        <v>3770</v>
      </c>
      <c r="N400" s="7">
        <v>62.833333333333336</v>
      </c>
      <c r="O400" s="7" t="s">
        <v>85</v>
      </c>
      <c r="P400" s="34">
        <v>58</v>
      </c>
      <c r="Q400" s="44"/>
      <c r="R400" s="34">
        <v>369.16666666666669</v>
      </c>
      <c r="S400" s="32">
        <v>46119</v>
      </c>
      <c r="T400" s="34">
        <v>64</v>
      </c>
      <c r="U400" s="34">
        <v>1.1666666666666643</v>
      </c>
      <c r="V400" s="34">
        <f t="shared" si="6"/>
        <v>0</v>
      </c>
    </row>
    <row r="401" spans="1:22" s="1" customFormat="1" x14ac:dyDescent="0.25">
      <c r="A401" s="33">
        <v>46119</v>
      </c>
      <c r="B401" s="9" t="s">
        <v>333</v>
      </c>
      <c r="C401" s="9" t="s">
        <v>334</v>
      </c>
      <c r="D401" s="35" t="s">
        <v>329</v>
      </c>
      <c r="E401" s="9" t="s">
        <v>330</v>
      </c>
      <c r="F401" s="35" t="s">
        <v>352</v>
      </c>
      <c r="G401" s="9" t="s">
        <v>332</v>
      </c>
      <c r="H401" s="9" t="s">
        <v>51</v>
      </c>
      <c r="I401" s="35">
        <v>11</v>
      </c>
      <c r="J401" s="9" t="s">
        <v>293</v>
      </c>
      <c r="K401" s="9">
        <v>58</v>
      </c>
      <c r="L401" s="38">
        <v>180</v>
      </c>
      <c r="M401" s="38">
        <v>10440</v>
      </c>
      <c r="N401" s="9">
        <v>174</v>
      </c>
      <c r="O401" s="9" t="s">
        <v>85</v>
      </c>
      <c r="P401" s="35">
        <v>58</v>
      </c>
      <c r="Q401" s="43"/>
      <c r="R401" s="35">
        <v>354</v>
      </c>
      <c r="S401" s="33">
        <v>46119</v>
      </c>
      <c r="T401" s="35">
        <v>175</v>
      </c>
      <c r="U401" s="35">
        <v>1</v>
      </c>
      <c r="V401" s="35">
        <f t="shared" si="6"/>
        <v>0</v>
      </c>
    </row>
    <row r="402" spans="1:22" s="4" customFormat="1" x14ac:dyDescent="0.25">
      <c r="A402" s="32">
        <v>46119</v>
      </c>
      <c r="B402" s="7" t="s">
        <v>30</v>
      </c>
      <c r="C402" s="7" t="s">
        <v>40</v>
      </c>
      <c r="D402" s="34" t="s">
        <v>329</v>
      </c>
      <c r="E402" s="7" t="s">
        <v>330</v>
      </c>
      <c r="F402" s="34" t="s">
        <v>353</v>
      </c>
      <c r="G402" s="7" t="s">
        <v>332</v>
      </c>
      <c r="H402" s="7" t="s">
        <v>48</v>
      </c>
      <c r="I402" s="34">
        <v>1</v>
      </c>
      <c r="J402" s="7" t="s">
        <v>312</v>
      </c>
      <c r="K402" s="7">
        <v>89</v>
      </c>
      <c r="L402" s="37">
        <v>40</v>
      </c>
      <c r="M402" s="37">
        <v>3560</v>
      </c>
      <c r="N402" s="7">
        <v>59.333333333333336</v>
      </c>
      <c r="O402" s="7" t="s">
        <v>85</v>
      </c>
      <c r="P402" s="34">
        <v>89</v>
      </c>
      <c r="Q402" s="44"/>
      <c r="R402" s="34">
        <v>468.66666666666669</v>
      </c>
      <c r="S402" s="32">
        <v>46119</v>
      </c>
      <c r="T402" s="34">
        <v>60</v>
      </c>
      <c r="U402" s="34">
        <v>0.6666666666666643</v>
      </c>
      <c r="V402" s="34">
        <f t="shared" si="6"/>
        <v>0</v>
      </c>
    </row>
    <row r="403" spans="1:22" s="1" customFormat="1" x14ac:dyDescent="0.25">
      <c r="A403" s="33">
        <v>46119</v>
      </c>
      <c r="B403" s="9" t="s">
        <v>333</v>
      </c>
      <c r="C403" s="9" t="s">
        <v>334</v>
      </c>
      <c r="D403" s="35" t="s">
        <v>329</v>
      </c>
      <c r="E403" s="9" t="s">
        <v>330</v>
      </c>
      <c r="F403" s="35" t="s">
        <v>354</v>
      </c>
      <c r="G403" s="9" t="s">
        <v>332</v>
      </c>
      <c r="H403" s="9" t="s">
        <v>49</v>
      </c>
      <c r="I403" s="35">
        <v>1</v>
      </c>
      <c r="J403" s="9" t="s">
        <v>312</v>
      </c>
      <c r="K403" s="9">
        <v>58</v>
      </c>
      <c r="L403" s="38">
        <v>40</v>
      </c>
      <c r="M403" s="38">
        <v>2320</v>
      </c>
      <c r="N403" s="9">
        <v>38.666666666666664</v>
      </c>
      <c r="O403" s="9" t="s">
        <v>85</v>
      </c>
      <c r="P403" s="35">
        <v>58</v>
      </c>
      <c r="Q403" s="43"/>
      <c r="R403" s="35">
        <v>315.33333333333331</v>
      </c>
      <c r="S403" s="33">
        <v>46119</v>
      </c>
      <c r="T403" s="35">
        <v>39</v>
      </c>
      <c r="U403" s="35">
        <v>0.3333333333333357</v>
      </c>
      <c r="V403" s="35">
        <f t="shared" si="6"/>
        <v>0</v>
      </c>
    </row>
    <row r="404" spans="1:22" s="4" customFormat="1" x14ac:dyDescent="0.25">
      <c r="A404" s="32">
        <v>46119</v>
      </c>
      <c r="B404" s="7" t="s">
        <v>333</v>
      </c>
      <c r="C404" s="7" t="s">
        <v>334</v>
      </c>
      <c r="D404" s="34" t="s">
        <v>329</v>
      </c>
      <c r="E404" s="7" t="s">
        <v>330</v>
      </c>
      <c r="F404" s="34" t="s">
        <v>355</v>
      </c>
      <c r="G404" s="7" t="s">
        <v>332</v>
      </c>
      <c r="H404" s="7" t="s">
        <v>50</v>
      </c>
      <c r="I404" s="34">
        <v>1</v>
      </c>
      <c r="J404" s="7" t="s">
        <v>312</v>
      </c>
      <c r="K404" s="7">
        <v>29</v>
      </c>
      <c r="L404" s="37">
        <v>40</v>
      </c>
      <c r="M404" s="37">
        <v>1160</v>
      </c>
      <c r="N404" s="7">
        <v>19.333333333333332</v>
      </c>
      <c r="O404" s="7" t="s">
        <v>85</v>
      </c>
      <c r="P404" s="34">
        <v>29</v>
      </c>
      <c r="Q404" s="44"/>
      <c r="R404" s="34">
        <v>296.66666666666669</v>
      </c>
      <c r="S404" s="32">
        <v>46119</v>
      </c>
      <c r="T404" s="34">
        <v>20</v>
      </c>
      <c r="U404" s="34">
        <v>0.66666666666666785</v>
      </c>
      <c r="V404" s="34">
        <f t="shared" si="6"/>
        <v>0</v>
      </c>
    </row>
    <row r="405" spans="1:22" s="1" customFormat="1" x14ac:dyDescent="0.25">
      <c r="A405" s="33">
        <v>46120</v>
      </c>
      <c r="B405" s="9" t="s">
        <v>333</v>
      </c>
      <c r="C405" s="9" t="s">
        <v>334</v>
      </c>
      <c r="D405" s="35" t="s">
        <v>329</v>
      </c>
      <c r="E405" s="9" t="s">
        <v>330</v>
      </c>
      <c r="F405" s="35" t="s">
        <v>352</v>
      </c>
      <c r="G405" s="9" t="s">
        <v>332</v>
      </c>
      <c r="H405" s="9" t="s">
        <v>51</v>
      </c>
      <c r="I405" s="35">
        <v>7</v>
      </c>
      <c r="J405" s="9" t="s">
        <v>228</v>
      </c>
      <c r="K405" s="9">
        <v>58</v>
      </c>
      <c r="L405" s="38">
        <v>60</v>
      </c>
      <c r="M405" s="38">
        <v>3480</v>
      </c>
      <c r="N405" s="9">
        <v>58</v>
      </c>
      <c r="O405" s="9" t="s">
        <v>85</v>
      </c>
      <c r="P405" s="35">
        <v>58</v>
      </c>
      <c r="Q405" s="43"/>
      <c r="R405" s="35">
        <v>470</v>
      </c>
      <c r="S405" s="33">
        <v>46120</v>
      </c>
      <c r="T405" s="35">
        <v>58</v>
      </c>
      <c r="U405" s="35">
        <v>0</v>
      </c>
      <c r="V405" s="35">
        <f t="shared" si="6"/>
        <v>0</v>
      </c>
    </row>
    <row r="406" spans="1:22" s="4" customFormat="1" x14ac:dyDescent="0.25">
      <c r="A406" s="32">
        <v>46120</v>
      </c>
      <c r="B406" s="7" t="s">
        <v>29</v>
      </c>
      <c r="C406" s="7" t="s">
        <v>38</v>
      </c>
      <c r="D406" s="34" t="s">
        <v>329</v>
      </c>
      <c r="E406" s="7" t="s">
        <v>330</v>
      </c>
      <c r="F406" s="34" t="s">
        <v>352</v>
      </c>
      <c r="G406" s="7" t="s">
        <v>332</v>
      </c>
      <c r="H406" s="7" t="s">
        <v>51</v>
      </c>
      <c r="I406" s="34">
        <v>8</v>
      </c>
      <c r="J406" s="7" t="s">
        <v>345</v>
      </c>
      <c r="K406" s="7">
        <v>58</v>
      </c>
      <c r="L406" s="37">
        <v>45</v>
      </c>
      <c r="M406" s="37">
        <v>2610</v>
      </c>
      <c r="N406" s="7">
        <v>43.5</v>
      </c>
      <c r="O406" s="7" t="s">
        <v>85</v>
      </c>
      <c r="P406" s="34">
        <v>58</v>
      </c>
      <c r="Q406" s="44"/>
      <c r="R406" s="34">
        <v>484.5</v>
      </c>
      <c r="S406" s="32">
        <v>46120</v>
      </c>
      <c r="T406" s="34">
        <v>45</v>
      </c>
      <c r="U406" s="34">
        <v>1.5</v>
      </c>
      <c r="V406" s="34">
        <f t="shared" si="6"/>
        <v>0</v>
      </c>
    </row>
    <row r="407" spans="1:22" s="1" customFormat="1" x14ac:dyDescent="0.25">
      <c r="A407" s="33">
        <v>46120</v>
      </c>
      <c r="B407" s="9" t="s">
        <v>29</v>
      </c>
      <c r="C407" s="9" t="s">
        <v>38</v>
      </c>
      <c r="D407" s="35" t="s">
        <v>329</v>
      </c>
      <c r="E407" s="9" t="s">
        <v>330</v>
      </c>
      <c r="F407" s="35" t="s">
        <v>352</v>
      </c>
      <c r="G407" s="9" t="s">
        <v>332</v>
      </c>
      <c r="H407" s="9" t="s">
        <v>51</v>
      </c>
      <c r="I407" s="35">
        <v>9</v>
      </c>
      <c r="J407" s="9" t="s">
        <v>346</v>
      </c>
      <c r="K407" s="9">
        <v>58</v>
      </c>
      <c r="L407" s="38">
        <v>45</v>
      </c>
      <c r="M407" s="38">
        <v>2610</v>
      </c>
      <c r="N407" s="9">
        <v>43.5</v>
      </c>
      <c r="O407" s="9" t="s">
        <v>85</v>
      </c>
      <c r="P407" s="35">
        <v>58</v>
      </c>
      <c r="Q407" s="43"/>
      <c r="R407" s="35">
        <v>441.5</v>
      </c>
      <c r="S407" s="33">
        <v>46120</v>
      </c>
      <c r="T407" s="35">
        <v>45</v>
      </c>
      <c r="U407" s="35">
        <v>1.5</v>
      </c>
      <c r="V407" s="35">
        <f t="shared" si="6"/>
        <v>0</v>
      </c>
    </row>
    <row r="408" spans="1:22" s="4" customFormat="1" x14ac:dyDescent="0.25">
      <c r="A408" s="32">
        <v>46120</v>
      </c>
      <c r="B408" s="7" t="s">
        <v>29</v>
      </c>
      <c r="C408" s="7" t="s">
        <v>38</v>
      </c>
      <c r="D408" s="34" t="s">
        <v>329</v>
      </c>
      <c r="E408" s="7" t="s">
        <v>330</v>
      </c>
      <c r="F408" s="34" t="s">
        <v>352</v>
      </c>
      <c r="G408" s="7" t="s">
        <v>332</v>
      </c>
      <c r="H408" s="7" t="s">
        <v>51</v>
      </c>
      <c r="I408" s="34">
        <v>10</v>
      </c>
      <c r="J408" s="7" t="s">
        <v>348</v>
      </c>
      <c r="K408" s="7">
        <v>58</v>
      </c>
      <c r="L408" s="37">
        <v>40</v>
      </c>
      <c r="M408" s="37">
        <v>2320</v>
      </c>
      <c r="N408" s="7">
        <v>38.666666666666664</v>
      </c>
      <c r="O408" s="7" t="s">
        <v>85</v>
      </c>
      <c r="P408" s="34">
        <v>58</v>
      </c>
      <c r="Q408" s="44"/>
      <c r="R408" s="34">
        <v>403.33333333333331</v>
      </c>
      <c r="S408" s="32">
        <v>46120</v>
      </c>
      <c r="T408" s="34">
        <v>39</v>
      </c>
      <c r="U408" s="34">
        <v>0.3333333333333357</v>
      </c>
      <c r="V408" s="34">
        <f t="shared" si="6"/>
        <v>0</v>
      </c>
    </row>
    <row r="409" spans="1:22" s="1" customFormat="1" x14ac:dyDescent="0.25">
      <c r="A409" s="33">
        <v>46120</v>
      </c>
      <c r="B409" s="9" t="s">
        <v>29</v>
      </c>
      <c r="C409" s="9" t="s">
        <v>38</v>
      </c>
      <c r="D409" s="35" t="s">
        <v>329</v>
      </c>
      <c r="E409" s="9" t="s">
        <v>330</v>
      </c>
      <c r="F409" s="35" t="s">
        <v>352</v>
      </c>
      <c r="G409" s="9" t="s">
        <v>332</v>
      </c>
      <c r="H409" s="9" t="s">
        <v>51</v>
      </c>
      <c r="I409" s="35">
        <v>12</v>
      </c>
      <c r="J409" s="9" t="s">
        <v>350</v>
      </c>
      <c r="K409" s="9">
        <v>58</v>
      </c>
      <c r="L409" s="38">
        <v>30</v>
      </c>
      <c r="M409" s="38">
        <v>1740</v>
      </c>
      <c r="N409" s="9">
        <v>29</v>
      </c>
      <c r="O409" s="9" t="s">
        <v>85</v>
      </c>
      <c r="P409" s="35">
        <v>58</v>
      </c>
      <c r="Q409" s="43"/>
      <c r="R409" s="35">
        <v>375</v>
      </c>
      <c r="S409" s="33">
        <v>46120</v>
      </c>
      <c r="T409" s="35">
        <v>30</v>
      </c>
      <c r="U409" s="35">
        <v>1</v>
      </c>
      <c r="V409" s="35">
        <f t="shared" si="6"/>
        <v>0</v>
      </c>
    </row>
    <row r="410" spans="1:22" s="4" customFormat="1" x14ac:dyDescent="0.25">
      <c r="A410" s="32">
        <v>46120</v>
      </c>
      <c r="B410" s="7" t="s">
        <v>27</v>
      </c>
      <c r="C410" s="7" t="s">
        <v>36</v>
      </c>
      <c r="D410" s="34" t="s">
        <v>329</v>
      </c>
      <c r="E410" s="7" t="s">
        <v>330</v>
      </c>
      <c r="F410" s="34" t="s">
        <v>353</v>
      </c>
      <c r="G410" s="7" t="s">
        <v>332</v>
      </c>
      <c r="H410" s="7" t="s">
        <v>48</v>
      </c>
      <c r="I410" s="34">
        <v>2</v>
      </c>
      <c r="J410" s="7" t="s">
        <v>314</v>
      </c>
      <c r="K410" s="7">
        <v>89</v>
      </c>
      <c r="L410" s="37">
        <v>90</v>
      </c>
      <c r="M410" s="37">
        <v>8010</v>
      </c>
      <c r="N410" s="7">
        <v>133.5</v>
      </c>
      <c r="O410" s="7" t="s">
        <v>85</v>
      </c>
      <c r="P410" s="34">
        <v>89</v>
      </c>
      <c r="Q410" s="44"/>
      <c r="R410" s="34">
        <v>394.5</v>
      </c>
      <c r="S410" s="32">
        <v>46120</v>
      </c>
      <c r="T410" s="34">
        <v>134</v>
      </c>
      <c r="U410" s="34">
        <v>0.5</v>
      </c>
      <c r="V410" s="34">
        <f t="shared" si="6"/>
        <v>0</v>
      </c>
    </row>
    <row r="411" spans="1:22" s="1" customFormat="1" x14ac:dyDescent="0.25">
      <c r="A411" s="33">
        <v>46120</v>
      </c>
      <c r="B411" s="9" t="s">
        <v>27</v>
      </c>
      <c r="C411" s="9" t="s">
        <v>36</v>
      </c>
      <c r="D411" s="35" t="s">
        <v>329</v>
      </c>
      <c r="E411" s="9" t="s">
        <v>330</v>
      </c>
      <c r="F411" s="35" t="s">
        <v>353</v>
      </c>
      <c r="G411" s="9" t="s">
        <v>332</v>
      </c>
      <c r="H411" s="9" t="s">
        <v>48</v>
      </c>
      <c r="I411" s="35">
        <v>3</v>
      </c>
      <c r="J411" s="9" t="s">
        <v>336</v>
      </c>
      <c r="K411" s="9">
        <v>89</v>
      </c>
      <c r="L411" s="38">
        <v>100</v>
      </c>
      <c r="M411" s="38">
        <v>8900</v>
      </c>
      <c r="N411" s="9">
        <v>148.33333333333334</v>
      </c>
      <c r="O411" s="9" t="s">
        <v>85</v>
      </c>
      <c r="P411" s="35">
        <v>89</v>
      </c>
      <c r="Q411" s="43"/>
      <c r="R411" s="35">
        <v>246.66666666666666</v>
      </c>
      <c r="S411" s="33">
        <v>46120</v>
      </c>
      <c r="T411" s="35">
        <v>150</v>
      </c>
      <c r="U411" s="35">
        <v>1.6666666666666572</v>
      </c>
      <c r="V411" s="35">
        <f t="shared" si="6"/>
        <v>0</v>
      </c>
    </row>
    <row r="412" spans="1:22" s="4" customFormat="1" x14ac:dyDescent="0.25">
      <c r="A412" s="32">
        <v>46120</v>
      </c>
      <c r="B412" s="7" t="s">
        <v>27</v>
      </c>
      <c r="C412" s="7" t="s">
        <v>36</v>
      </c>
      <c r="D412" s="34" t="s">
        <v>329</v>
      </c>
      <c r="E412" s="7" t="s">
        <v>330</v>
      </c>
      <c r="F412" s="34" t="s">
        <v>353</v>
      </c>
      <c r="G412" s="7" t="s">
        <v>332</v>
      </c>
      <c r="H412" s="7" t="s">
        <v>48</v>
      </c>
      <c r="I412" s="34">
        <v>4</v>
      </c>
      <c r="J412" s="7" t="s">
        <v>338</v>
      </c>
      <c r="K412" s="7">
        <v>89</v>
      </c>
      <c r="L412" s="37">
        <v>60</v>
      </c>
      <c r="M412" s="37">
        <v>5340</v>
      </c>
      <c r="N412" s="7">
        <v>89</v>
      </c>
      <c r="O412" s="7" t="s">
        <v>85</v>
      </c>
      <c r="P412" s="34">
        <v>89</v>
      </c>
      <c r="Q412" s="44"/>
      <c r="R412" s="34">
        <v>158</v>
      </c>
      <c r="S412" s="32">
        <v>46120</v>
      </c>
      <c r="T412" s="34">
        <v>89</v>
      </c>
      <c r="U412" s="34">
        <v>0</v>
      </c>
      <c r="V412" s="34">
        <f t="shared" si="6"/>
        <v>0</v>
      </c>
    </row>
    <row r="413" spans="1:22" s="1" customFormat="1" x14ac:dyDescent="0.25">
      <c r="A413" s="33">
        <v>46120</v>
      </c>
      <c r="B413" s="9" t="s">
        <v>27</v>
      </c>
      <c r="C413" s="9" t="s">
        <v>36</v>
      </c>
      <c r="D413" s="35" t="s">
        <v>329</v>
      </c>
      <c r="E413" s="9" t="s">
        <v>330</v>
      </c>
      <c r="F413" s="35" t="s">
        <v>353</v>
      </c>
      <c r="G413" s="9" t="s">
        <v>332</v>
      </c>
      <c r="H413" s="9" t="s">
        <v>48</v>
      </c>
      <c r="I413" s="35">
        <v>5</v>
      </c>
      <c r="J413" s="9" t="s">
        <v>340</v>
      </c>
      <c r="K413" s="9">
        <v>89</v>
      </c>
      <c r="L413" s="38">
        <v>40</v>
      </c>
      <c r="M413" s="38">
        <v>3560</v>
      </c>
      <c r="N413" s="9">
        <v>59.333333333333336</v>
      </c>
      <c r="O413" s="9" t="s">
        <v>85</v>
      </c>
      <c r="P413" s="35">
        <v>89</v>
      </c>
      <c r="Q413" s="43"/>
      <c r="R413" s="35">
        <v>98.666666666666657</v>
      </c>
      <c r="S413" s="33">
        <v>46120</v>
      </c>
      <c r="T413" s="35">
        <v>60</v>
      </c>
      <c r="U413" s="35">
        <v>0.6666666666666643</v>
      </c>
      <c r="V413" s="35">
        <f t="shared" si="6"/>
        <v>0</v>
      </c>
    </row>
    <row r="414" spans="1:22" s="4" customFormat="1" x14ac:dyDescent="0.25">
      <c r="A414" s="32">
        <v>46120</v>
      </c>
      <c r="B414" s="7" t="s">
        <v>27</v>
      </c>
      <c r="C414" s="7" t="s">
        <v>36</v>
      </c>
      <c r="D414" s="34" t="s">
        <v>329</v>
      </c>
      <c r="E414" s="7" t="s">
        <v>330</v>
      </c>
      <c r="F414" s="34" t="s">
        <v>353</v>
      </c>
      <c r="G414" s="7" t="s">
        <v>332</v>
      </c>
      <c r="H414" s="7" t="s">
        <v>48</v>
      </c>
      <c r="I414" s="34">
        <v>6</v>
      </c>
      <c r="J414" s="7" t="s">
        <v>342</v>
      </c>
      <c r="K414" s="7">
        <v>45</v>
      </c>
      <c r="L414" s="37">
        <v>65</v>
      </c>
      <c r="M414" s="37">
        <v>2925</v>
      </c>
      <c r="N414" s="7">
        <v>48.75</v>
      </c>
      <c r="O414" s="7" t="s">
        <v>85</v>
      </c>
      <c r="P414" s="34">
        <v>45</v>
      </c>
      <c r="Q414" s="44"/>
      <c r="R414" s="34">
        <v>50.25</v>
      </c>
      <c r="S414" s="32">
        <v>46121</v>
      </c>
      <c r="T414" s="34">
        <v>50</v>
      </c>
      <c r="U414" s="34">
        <v>1.25</v>
      </c>
      <c r="V414" s="34">
        <f t="shared" si="6"/>
        <v>0</v>
      </c>
    </row>
    <row r="415" spans="1:22" s="1" customFormat="1" x14ac:dyDescent="0.25">
      <c r="A415" s="33">
        <v>46120</v>
      </c>
      <c r="B415" s="9" t="s">
        <v>29</v>
      </c>
      <c r="C415" s="9" t="s">
        <v>38</v>
      </c>
      <c r="D415" s="35" t="s">
        <v>329</v>
      </c>
      <c r="E415" s="9" t="s">
        <v>330</v>
      </c>
      <c r="F415" s="35" t="s">
        <v>353</v>
      </c>
      <c r="G415" s="9" t="s">
        <v>332</v>
      </c>
      <c r="H415" s="9" t="s">
        <v>48</v>
      </c>
      <c r="I415" s="35">
        <v>6</v>
      </c>
      <c r="J415" s="9" t="s">
        <v>342</v>
      </c>
      <c r="K415" s="9">
        <v>44</v>
      </c>
      <c r="L415" s="38">
        <v>65</v>
      </c>
      <c r="M415" s="38">
        <v>2860</v>
      </c>
      <c r="N415" s="9">
        <v>47.666666666666664</v>
      </c>
      <c r="O415" s="9" t="s">
        <v>85</v>
      </c>
      <c r="P415" s="35">
        <v>44</v>
      </c>
      <c r="Q415" s="43"/>
      <c r="R415" s="35">
        <v>327.33333333333331</v>
      </c>
      <c r="S415" s="33">
        <v>46121</v>
      </c>
      <c r="T415" s="35">
        <v>48</v>
      </c>
      <c r="U415" s="35">
        <v>0.3333333333333357</v>
      </c>
      <c r="V415" s="35">
        <f t="shared" si="6"/>
        <v>0</v>
      </c>
    </row>
    <row r="416" spans="1:22" s="4" customFormat="1" x14ac:dyDescent="0.25">
      <c r="A416" s="32">
        <v>46120</v>
      </c>
      <c r="B416" s="7" t="s">
        <v>333</v>
      </c>
      <c r="C416" s="7" t="s">
        <v>334</v>
      </c>
      <c r="D416" s="34" t="s">
        <v>329</v>
      </c>
      <c r="E416" s="7" t="s">
        <v>330</v>
      </c>
      <c r="F416" s="34" t="s">
        <v>353</v>
      </c>
      <c r="G416" s="7" t="s">
        <v>332</v>
      </c>
      <c r="H416" s="7" t="s">
        <v>48</v>
      </c>
      <c r="I416" s="34">
        <v>7</v>
      </c>
      <c r="J416" s="7" t="s">
        <v>228</v>
      </c>
      <c r="K416" s="7">
        <v>89</v>
      </c>
      <c r="L416" s="37">
        <v>60</v>
      </c>
      <c r="M416" s="37">
        <v>5340</v>
      </c>
      <c r="N416" s="7">
        <v>89</v>
      </c>
      <c r="O416" s="7" t="s">
        <v>85</v>
      </c>
      <c r="P416" s="34">
        <v>89</v>
      </c>
      <c r="Q416" s="44"/>
      <c r="R416" s="34">
        <v>381</v>
      </c>
      <c r="S416" s="32">
        <v>46121</v>
      </c>
      <c r="T416" s="34">
        <v>90</v>
      </c>
      <c r="U416" s="34">
        <v>1</v>
      </c>
      <c r="V416" s="34">
        <f t="shared" si="6"/>
        <v>0</v>
      </c>
    </row>
    <row r="417" spans="1:22" s="1" customFormat="1" x14ac:dyDescent="0.25">
      <c r="A417" s="33">
        <v>46120</v>
      </c>
      <c r="B417" s="9" t="s">
        <v>30</v>
      </c>
      <c r="C417" s="9" t="s">
        <v>40</v>
      </c>
      <c r="D417" s="35" t="s">
        <v>329</v>
      </c>
      <c r="E417" s="9" t="s">
        <v>330</v>
      </c>
      <c r="F417" s="35" t="s">
        <v>353</v>
      </c>
      <c r="G417" s="9" t="s">
        <v>332</v>
      </c>
      <c r="H417" s="9" t="s">
        <v>48</v>
      </c>
      <c r="I417" s="35">
        <v>11</v>
      </c>
      <c r="J417" s="9" t="s">
        <v>293</v>
      </c>
      <c r="K417" s="9">
        <v>89</v>
      </c>
      <c r="L417" s="38">
        <v>180</v>
      </c>
      <c r="M417" s="38">
        <v>16020</v>
      </c>
      <c r="N417" s="9">
        <v>267</v>
      </c>
      <c r="O417" s="9" t="s">
        <v>85</v>
      </c>
      <c r="P417" s="35">
        <v>89</v>
      </c>
      <c r="Q417" s="43"/>
      <c r="R417" s="35">
        <v>261</v>
      </c>
      <c r="S417" s="33">
        <v>46120</v>
      </c>
      <c r="T417" s="35">
        <v>267</v>
      </c>
      <c r="U417" s="35">
        <v>0</v>
      </c>
      <c r="V417" s="35">
        <f t="shared" si="6"/>
        <v>0</v>
      </c>
    </row>
    <row r="418" spans="1:22" s="4" customFormat="1" x14ac:dyDescent="0.25">
      <c r="A418" s="32">
        <v>46120</v>
      </c>
      <c r="B418" s="7" t="s">
        <v>30</v>
      </c>
      <c r="C418" s="7" t="s">
        <v>40</v>
      </c>
      <c r="D418" s="34" t="s">
        <v>329</v>
      </c>
      <c r="E418" s="7" t="s">
        <v>330</v>
      </c>
      <c r="F418" s="34" t="s">
        <v>354</v>
      </c>
      <c r="G418" s="7" t="s">
        <v>332</v>
      </c>
      <c r="H418" s="7" t="s">
        <v>49</v>
      </c>
      <c r="I418" s="34">
        <v>11</v>
      </c>
      <c r="J418" s="7" t="s">
        <v>293</v>
      </c>
      <c r="K418" s="7">
        <v>58</v>
      </c>
      <c r="L418" s="37">
        <v>180</v>
      </c>
      <c r="M418" s="37">
        <v>10440</v>
      </c>
      <c r="N418" s="7">
        <v>174</v>
      </c>
      <c r="O418" s="7" t="s">
        <v>85</v>
      </c>
      <c r="P418" s="34">
        <v>58</v>
      </c>
      <c r="Q418" s="44"/>
      <c r="R418" s="34">
        <v>87</v>
      </c>
      <c r="S418" s="32">
        <v>46120</v>
      </c>
      <c r="T418" s="34">
        <v>174</v>
      </c>
      <c r="U418" s="34">
        <v>0</v>
      </c>
      <c r="V418" s="34">
        <f t="shared" si="6"/>
        <v>0</v>
      </c>
    </row>
    <row r="419" spans="1:22" s="1" customFormat="1" x14ac:dyDescent="0.25">
      <c r="A419" s="33">
        <v>46120</v>
      </c>
      <c r="B419" s="9" t="s">
        <v>333</v>
      </c>
      <c r="C419" s="9" t="s">
        <v>334</v>
      </c>
      <c r="D419" s="35" t="s">
        <v>329</v>
      </c>
      <c r="E419" s="9" t="s">
        <v>330</v>
      </c>
      <c r="F419" s="35" t="s">
        <v>354</v>
      </c>
      <c r="G419" s="9" t="s">
        <v>332</v>
      </c>
      <c r="H419" s="9" t="s">
        <v>49</v>
      </c>
      <c r="I419" s="35">
        <v>2</v>
      </c>
      <c r="J419" s="9" t="s">
        <v>314</v>
      </c>
      <c r="K419" s="9">
        <v>58</v>
      </c>
      <c r="L419" s="38">
        <v>90</v>
      </c>
      <c r="M419" s="38">
        <v>5220</v>
      </c>
      <c r="N419" s="9">
        <v>87</v>
      </c>
      <c r="O419" s="9" t="s">
        <v>85</v>
      </c>
      <c r="P419" s="35">
        <v>58</v>
      </c>
      <c r="Q419" s="43"/>
      <c r="R419" s="35">
        <v>294</v>
      </c>
      <c r="S419" s="33">
        <v>46120</v>
      </c>
      <c r="T419" s="35">
        <v>87</v>
      </c>
      <c r="U419" s="35">
        <v>0</v>
      </c>
      <c r="V419" s="35">
        <f t="shared" si="6"/>
        <v>0</v>
      </c>
    </row>
    <row r="420" spans="1:22" s="4" customFormat="1" x14ac:dyDescent="0.25">
      <c r="A420" s="32">
        <v>46120</v>
      </c>
      <c r="B420" s="7" t="s">
        <v>333</v>
      </c>
      <c r="C420" s="7" t="s">
        <v>334</v>
      </c>
      <c r="D420" s="34" t="s">
        <v>329</v>
      </c>
      <c r="E420" s="7" t="s">
        <v>330</v>
      </c>
      <c r="F420" s="34" t="s">
        <v>355</v>
      </c>
      <c r="G420" s="7" t="s">
        <v>332</v>
      </c>
      <c r="H420" s="7" t="s">
        <v>50</v>
      </c>
      <c r="I420" s="34">
        <v>11</v>
      </c>
      <c r="J420" s="7" t="s">
        <v>293</v>
      </c>
      <c r="K420" s="7">
        <v>29</v>
      </c>
      <c r="L420" s="37">
        <v>180</v>
      </c>
      <c r="M420" s="37">
        <v>5220</v>
      </c>
      <c r="N420" s="7">
        <v>87</v>
      </c>
      <c r="O420" s="7" t="s">
        <v>85</v>
      </c>
      <c r="P420" s="34">
        <v>29</v>
      </c>
      <c r="Q420" s="44"/>
      <c r="R420" s="34">
        <v>207</v>
      </c>
      <c r="S420" s="32">
        <v>46120</v>
      </c>
      <c r="T420" s="34">
        <v>87</v>
      </c>
      <c r="U420" s="34">
        <v>0</v>
      </c>
      <c r="V420" s="34">
        <f t="shared" si="6"/>
        <v>0</v>
      </c>
    </row>
    <row r="421" spans="1:22" s="1" customFormat="1" x14ac:dyDescent="0.25">
      <c r="A421" s="33">
        <v>46120</v>
      </c>
      <c r="B421" s="9" t="s">
        <v>333</v>
      </c>
      <c r="C421" s="9" t="s">
        <v>334</v>
      </c>
      <c r="D421" s="35" t="s">
        <v>329</v>
      </c>
      <c r="E421" s="9" t="s">
        <v>330</v>
      </c>
      <c r="F421" s="35" t="s">
        <v>355</v>
      </c>
      <c r="G421" s="9" t="s">
        <v>332</v>
      </c>
      <c r="H421" s="9" t="s">
        <v>50</v>
      </c>
      <c r="I421" s="35">
        <v>2</v>
      </c>
      <c r="J421" s="9" t="s">
        <v>314</v>
      </c>
      <c r="K421" s="9">
        <v>29</v>
      </c>
      <c r="L421" s="38">
        <v>90</v>
      </c>
      <c r="M421" s="38">
        <v>2610</v>
      </c>
      <c r="N421" s="9">
        <v>43.5</v>
      </c>
      <c r="O421" s="9" t="s">
        <v>85</v>
      </c>
      <c r="P421" s="35">
        <v>29</v>
      </c>
      <c r="Q421" s="43"/>
      <c r="R421" s="35">
        <v>163.5</v>
      </c>
      <c r="S421" s="33">
        <v>46120</v>
      </c>
      <c r="T421" s="35">
        <v>44</v>
      </c>
      <c r="U421" s="35">
        <v>0.5</v>
      </c>
      <c r="V421" s="35">
        <f t="shared" si="6"/>
        <v>0</v>
      </c>
    </row>
    <row r="422" spans="1:22" s="4" customFormat="1" x14ac:dyDescent="0.25">
      <c r="A422" s="32">
        <v>46120</v>
      </c>
      <c r="B422" s="7" t="s">
        <v>333</v>
      </c>
      <c r="C422" s="7" t="s">
        <v>334</v>
      </c>
      <c r="D422" s="34" t="s">
        <v>329</v>
      </c>
      <c r="E422" s="7" t="s">
        <v>330</v>
      </c>
      <c r="F422" s="34" t="s">
        <v>354</v>
      </c>
      <c r="G422" s="7" t="s">
        <v>332</v>
      </c>
      <c r="H422" s="7" t="s">
        <v>49</v>
      </c>
      <c r="I422" s="34">
        <v>3</v>
      </c>
      <c r="J422" s="7" t="s">
        <v>336</v>
      </c>
      <c r="K422" s="7">
        <v>58</v>
      </c>
      <c r="L422" s="37">
        <v>100</v>
      </c>
      <c r="M422" s="37">
        <v>5800</v>
      </c>
      <c r="N422" s="7">
        <v>96.666666666666671</v>
      </c>
      <c r="O422" s="7" t="s">
        <v>85</v>
      </c>
      <c r="P422" s="34">
        <v>58</v>
      </c>
      <c r="Q422" s="44"/>
      <c r="R422" s="34">
        <v>115.66666666666666</v>
      </c>
      <c r="S422" s="32">
        <v>46120</v>
      </c>
      <c r="T422" s="34">
        <v>49</v>
      </c>
      <c r="U422" s="34">
        <v>-47.666666666666671</v>
      </c>
      <c r="V422" s="34">
        <f t="shared" si="6"/>
        <v>0</v>
      </c>
    </row>
    <row r="423" spans="1:22" s="1" customFormat="1" x14ac:dyDescent="0.25">
      <c r="A423" s="33">
        <v>46120</v>
      </c>
      <c r="B423" s="9" t="s">
        <v>30</v>
      </c>
      <c r="C423" s="9" t="s">
        <v>40</v>
      </c>
      <c r="D423" s="35" t="s">
        <v>329</v>
      </c>
      <c r="E423" s="9" t="s">
        <v>330</v>
      </c>
      <c r="F423" s="35" t="s">
        <v>354</v>
      </c>
      <c r="G423" s="9" t="s">
        <v>332</v>
      </c>
      <c r="H423" s="9" t="s">
        <v>49</v>
      </c>
      <c r="I423" s="35">
        <v>4</v>
      </c>
      <c r="J423" s="9" t="s">
        <v>338</v>
      </c>
      <c r="K423" s="9">
        <v>58</v>
      </c>
      <c r="L423" s="38">
        <v>60</v>
      </c>
      <c r="M423" s="38">
        <v>3480</v>
      </c>
      <c r="N423" s="9">
        <v>58</v>
      </c>
      <c r="O423" s="9" t="s">
        <v>85</v>
      </c>
      <c r="P423" s="35">
        <v>58</v>
      </c>
      <c r="Q423" s="43"/>
      <c r="R423" s="35">
        <v>29</v>
      </c>
      <c r="S423" s="33">
        <v>46120</v>
      </c>
      <c r="T423" s="35">
        <v>58</v>
      </c>
      <c r="U423" s="35">
        <v>0</v>
      </c>
      <c r="V423" s="35">
        <f t="shared" si="6"/>
        <v>0</v>
      </c>
    </row>
    <row r="424" spans="1:22" s="4" customFormat="1" x14ac:dyDescent="0.25">
      <c r="A424" s="32">
        <v>46120</v>
      </c>
      <c r="B424" s="7" t="s">
        <v>30</v>
      </c>
      <c r="C424" s="7" t="s">
        <v>40</v>
      </c>
      <c r="D424" s="34" t="s">
        <v>329</v>
      </c>
      <c r="E424" s="7" t="s">
        <v>330</v>
      </c>
      <c r="F424" s="34" t="s">
        <v>354</v>
      </c>
      <c r="G424" s="7" t="s">
        <v>332</v>
      </c>
      <c r="H424" s="7" t="s">
        <v>49</v>
      </c>
      <c r="I424" s="34">
        <v>5</v>
      </c>
      <c r="J424" s="7" t="s">
        <v>340</v>
      </c>
      <c r="K424" s="7">
        <v>58</v>
      </c>
      <c r="L424" s="37">
        <v>40</v>
      </c>
      <c r="M424" s="37">
        <v>2320</v>
      </c>
      <c r="N424" s="7">
        <v>38.666666666666664</v>
      </c>
      <c r="O424" s="7" t="s">
        <v>85</v>
      </c>
      <c r="P424" s="34">
        <v>58</v>
      </c>
      <c r="Q424" s="44" t="s">
        <v>356</v>
      </c>
      <c r="R424" s="34">
        <v>0.33333333333333215</v>
      </c>
      <c r="S424" s="32">
        <v>46120</v>
      </c>
      <c r="T424" s="34">
        <v>39</v>
      </c>
      <c r="U424" s="34">
        <v>0.3333333333333357</v>
      </c>
      <c r="V424" s="34">
        <f t="shared" si="6"/>
        <v>0</v>
      </c>
    </row>
    <row r="425" spans="1:22" s="1" customFormat="1" x14ac:dyDescent="0.25">
      <c r="A425" s="33">
        <v>46120</v>
      </c>
      <c r="B425" s="9" t="s">
        <v>333</v>
      </c>
      <c r="C425" s="9" t="s">
        <v>334</v>
      </c>
      <c r="D425" s="35" t="s">
        <v>329</v>
      </c>
      <c r="E425" s="9" t="s">
        <v>330</v>
      </c>
      <c r="F425" s="35" t="s">
        <v>355</v>
      </c>
      <c r="G425" s="9" t="s">
        <v>332</v>
      </c>
      <c r="H425" s="9" t="s">
        <v>50</v>
      </c>
      <c r="I425" s="35">
        <v>3</v>
      </c>
      <c r="J425" s="9" t="s">
        <v>336</v>
      </c>
      <c r="K425" s="9">
        <v>29</v>
      </c>
      <c r="L425" s="38">
        <v>100</v>
      </c>
      <c r="M425" s="38">
        <v>2900</v>
      </c>
      <c r="N425" s="9">
        <v>48.333333333333336</v>
      </c>
      <c r="O425" s="9" t="s">
        <v>85</v>
      </c>
      <c r="P425" s="35">
        <v>29</v>
      </c>
      <c r="Q425" s="43"/>
      <c r="R425" s="35">
        <v>67.666666666666657</v>
      </c>
      <c r="S425" s="33">
        <v>46120</v>
      </c>
      <c r="T425" s="35">
        <v>49</v>
      </c>
      <c r="U425" s="35">
        <v>0.6666666666666643</v>
      </c>
      <c r="V425" s="35">
        <f t="shared" si="6"/>
        <v>0</v>
      </c>
    </row>
    <row r="426" spans="1:22" s="4" customFormat="1" x14ac:dyDescent="0.25">
      <c r="A426" s="32">
        <v>46121</v>
      </c>
      <c r="B426" s="7" t="s">
        <v>29</v>
      </c>
      <c r="C426" s="7" t="s">
        <v>38</v>
      </c>
      <c r="D426" s="34" t="s">
        <v>329</v>
      </c>
      <c r="E426" s="7" t="s">
        <v>330</v>
      </c>
      <c r="F426" s="34" t="s">
        <v>353</v>
      </c>
      <c r="G426" s="7" t="s">
        <v>332</v>
      </c>
      <c r="H426" s="7" t="s">
        <v>48</v>
      </c>
      <c r="I426" s="34">
        <v>8</v>
      </c>
      <c r="J426" s="7" t="s">
        <v>345</v>
      </c>
      <c r="K426" s="7">
        <v>89</v>
      </c>
      <c r="L426" s="37">
        <v>45</v>
      </c>
      <c r="M426" s="37">
        <v>4005</v>
      </c>
      <c r="N426" s="7">
        <v>66.75</v>
      </c>
      <c r="O426" s="7" t="s">
        <v>85</v>
      </c>
      <c r="P426" s="34">
        <v>89</v>
      </c>
      <c r="Q426" s="44"/>
      <c r="R426" s="34">
        <v>461.25</v>
      </c>
      <c r="S426" s="32">
        <v>46121</v>
      </c>
      <c r="T426" s="34">
        <v>67</v>
      </c>
      <c r="U426" s="34">
        <v>0.25</v>
      </c>
      <c r="V426" s="34">
        <f t="shared" si="6"/>
        <v>0</v>
      </c>
    </row>
    <row r="427" spans="1:22" s="1" customFormat="1" x14ac:dyDescent="0.25">
      <c r="A427" s="33">
        <v>46121</v>
      </c>
      <c r="B427" s="9" t="s">
        <v>29</v>
      </c>
      <c r="C427" s="9" t="s">
        <v>38</v>
      </c>
      <c r="D427" s="35" t="s">
        <v>329</v>
      </c>
      <c r="E427" s="9" t="s">
        <v>330</v>
      </c>
      <c r="F427" s="35" t="s">
        <v>353</v>
      </c>
      <c r="G427" s="9" t="s">
        <v>332</v>
      </c>
      <c r="H427" s="9" t="s">
        <v>48</v>
      </c>
      <c r="I427" s="35">
        <v>9</v>
      </c>
      <c r="J427" s="9" t="s">
        <v>346</v>
      </c>
      <c r="K427" s="9">
        <v>89</v>
      </c>
      <c r="L427" s="38">
        <v>45</v>
      </c>
      <c r="M427" s="38">
        <v>4005</v>
      </c>
      <c r="N427" s="9">
        <v>66.75</v>
      </c>
      <c r="O427" s="9" t="s">
        <v>85</v>
      </c>
      <c r="P427" s="35">
        <v>89</v>
      </c>
      <c r="Q427" s="43"/>
      <c r="R427" s="35">
        <v>395.25</v>
      </c>
      <c r="S427" s="33">
        <v>46121</v>
      </c>
      <c r="T427" s="35">
        <v>67</v>
      </c>
      <c r="U427" s="35">
        <v>0.25</v>
      </c>
      <c r="V427" s="35">
        <f t="shared" si="6"/>
        <v>0</v>
      </c>
    </row>
    <row r="428" spans="1:22" s="4" customFormat="1" x14ac:dyDescent="0.25">
      <c r="A428" s="32">
        <v>46121</v>
      </c>
      <c r="B428" s="7" t="s">
        <v>27</v>
      </c>
      <c r="C428" s="7" t="s">
        <v>36</v>
      </c>
      <c r="D428" s="34" t="s">
        <v>329</v>
      </c>
      <c r="E428" s="7" t="s">
        <v>330</v>
      </c>
      <c r="F428" s="34" t="s">
        <v>353</v>
      </c>
      <c r="G428" s="7" t="s">
        <v>332</v>
      </c>
      <c r="H428" s="7" t="s">
        <v>48</v>
      </c>
      <c r="I428" s="34">
        <v>10</v>
      </c>
      <c r="J428" s="7" t="s">
        <v>348</v>
      </c>
      <c r="K428" s="7">
        <v>89</v>
      </c>
      <c r="L428" s="37">
        <v>40</v>
      </c>
      <c r="M428" s="37">
        <v>3560</v>
      </c>
      <c r="N428" s="7">
        <v>59.333333333333336</v>
      </c>
      <c r="O428" s="7" t="s">
        <v>85</v>
      </c>
      <c r="P428" s="34">
        <v>89</v>
      </c>
      <c r="Q428" s="44"/>
      <c r="R428" s="34">
        <v>468.66666666666669</v>
      </c>
      <c r="S428" s="32">
        <v>46121</v>
      </c>
      <c r="T428" s="34">
        <v>60</v>
      </c>
      <c r="U428" s="34">
        <v>0.6666666666666643</v>
      </c>
      <c r="V428" s="34">
        <f t="shared" si="6"/>
        <v>0</v>
      </c>
    </row>
    <row r="429" spans="1:22" s="1" customFormat="1" x14ac:dyDescent="0.25">
      <c r="A429" s="33">
        <v>46121</v>
      </c>
      <c r="B429" s="9" t="s">
        <v>29</v>
      </c>
      <c r="C429" s="9" t="s">
        <v>38</v>
      </c>
      <c r="D429" s="35" t="s">
        <v>329</v>
      </c>
      <c r="E429" s="9" t="s">
        <v>330</v>
      </c>
      <c r="F429" s="35" t="s">
        <v>353</v>
      </c>
      <c r="G429" s="9" t="s">
        <v>332</v>
      </c>
      <c r="H429" s="9" t="s">
        <v>48</v>
      </c>
      <c r="I429" s="35">
        <v>12</v>
      </c>
      <c r="J429" s="9" t="s">
        <v>350</v>
      </c>
      <c r="K429" s="9">
        <v>89</v>
      </c>
      <c r="L429" s="38">
        <v>30</v>
      </c>
      <c r="M429" s="38">
        <v>2670</v>
      </c>
      <c r="N429" s="9">
        <v>44.5</v>
      </c>
      <c r="O429" s="9" t="s">
        <v>85</v>
      </c>
      <c r="P429" s="35">
        <v>89</v>
      </c>
      <c r="Q429" s="43"/>
      <c r="R429" s="35">
        <v>351.5</v>
      </c>
      <c r="S429" s="33">
        <v>46121</v>
      </c>
      <c r="T429" s="35">
        <v>45</v>
      </c>
      <c r="U429" s="35">
        <v>0.5</v>
      </c>
      <c r="V429" s="35">
        <f t="shared" si="6"/>
        <v>0</v>
      </c>
    </row>
    <row r="430" spans="1:22" s="4" customFormat="1" x14ac:dyDescent="0.25">
      <c r="A430" s="32">
        <v>46121</v>
      </c>
      <c r="B430" s="7" t="s">
        <v>27</v>
      </c>
      <c r="C430" s="7" t="s">
        <v>36</v>
      </c>
      <c r="D430" s="34" t="s">
        <v>329</v>
      </c>
      <c r="E430" s="7" t="s">
        <v>330</v>
      </c>
      <c r="F430" s="34" t="s">
        <v>354</v>
      </c>
      <c r="G430" s="7" t="s">
        <v>332</v>
      </c>
      <c r="H430" s="7" t="s">
        <v>49</v>
      </c>
      <c r="I430" s="34">
        <v>6</v>
      </c>
      <c r="J430" s="7" t="s">
        <v>342</v>
      </c>
      <c r="K430" s="7">
        <v>58</v>
      </c>
      <c r="L430" s="37">
        <v>65</v>
      </c>
      <c r="M430" s="37">
        <v>3770</v>
      </c>
      <c r="N430" s="7">
        <v>62.833333333333336</v>
      </c>
      <c r="O430" s="7" t="s">
        <v>85</v>
      </c>
      <c r="P430" s="34">
        <v>58</v>
      </c>
      <c r="Q430" s="44"/>
      <c r="R430" s="34">
        <v>406.16666666666669</v>
      </c>
      <c r="S430" s="32">
        <v>46121</v>
      </c>
      <c r="T430" s="34">
        <v>63</v>
      </c>
      <c r="U430" s="34">
        <v>0.1666666666666643</v>
      </c>
      <c r="V430" s="34">
        <f t="shared" si="6"/>
        <v>0</v>
      </c>
    </row>
    <row r="431" spans="1:22" s="1" customFormat="1" x14ac:dyDescent="0.25">
      <c r="A431" s="33">
        <v>46121</v>
      </c>
      <c r="B431" s="9" t="s">
        <v>333</v>
      </c>
      <c r="C431" s="9" t="s">
        <v>334</v>
      </c>
      <c r="D431" s="35" t="s">
        <v>329</v>
      </c>
      <c r="E431" s="9" t="s">
        <v>330</v>
      </c>
      <c r="F431" s="35" t="s">
        <v>354</v>
      </c>
      <c r="G431" s="9" t="s">
        <v>332</v>
      </c>
      <c r="H431" s="9" t="s">
        <v>49</v>
      </c>
      <c r="I431" s="35">
        <v>7</v>
      </c>
      <c r="J431" s="9" t="s">
        <v>228</v>
      </c>
      <c r="K431" s="9">
        <v>58</v>
      </c>
      <c r="L431" s="38">
        <v>60</v>
      </c>
      <c r="M431" s="38">
        <v>3480</v>
      </c>
      <c r="N431" s="9">
        <v>58</v>
      </c>
      <c r="O431" s="9" t="s">
        <v>85</v>
      </c>
      <c r="P431" s="35">
        <v>58</v>
      </c>
      <c r="Q431" s="43"/>
      <c r="R431" s="35">
        <v>470</v>
      </c>
      <c r="S431" s="33">
        <v>46121</v>
      </c>
      <c r="T431" s="35">
        <v>58</v>
      </c>
      <c r="U431" s="35">
        <v>0</v>
      </c>
      <c r="V431" s="35">
        <f t="shared" si="6"/>
        <v>0</v>
      </c>
    </row>
    <row r="432" spans="1:22" s="4" customFormat="1" x14ac:dyDescent="0.25">
      <c r="A432" s="32">
        <v>46121</v>
      </c>
      <c r="B432" s="7" t="s">
        <v>30</v>
      </c>
      <c r="C432" s="7" t="s">
        <v>40</v>
      </c>
      <c r="D432" s="34" t="s">
        <v>329</v>
      </c>
      <c r="E432" s="7" t="s">
        <v>330</v>
      </c>
      <c r="F432" s="34" t="s">
        <v>354</v>
      </c>
      <c r="G432" s="7" t="s">
        <v>332</v>
      </c>
      <c r="H432" s="7" t="s">
        <v>49</v>
      </c>
      <c r="I432" s="34">
        <v>8</v>
      </c>
      <c r="J432" s="7" t="s">
        <v>345</v>
      </c>
      <c r="K432" s="7">
        <v>58</v>
      </c>
      <c r="L432" s="37">
        <v>45</v>
      </c>
      <c r="M432" s="37">
        <v>2610</v>
      </c>
      <c r="N432" s="7">
        <v>43.5</v>
      </c>
      <c r="O432" s="7" t="s">
        <v>85</v>
      </c>
      <c r="P432" s="34">
        <v>58</v>
      </c>
      <c r="Q432" s="44"/>
      <c r="R432" s="34">
        <v>484.5</v>
      </c>
      <c r="S432" s="32">
        <v>46121</v>
      </c>
      <c r="T432" s="34">
        <v>44</v>
      </c>
      <c r="U432" s="34">
        <v>0.5</v>
      </c>
      <c r="V432" s="34">
        <f t="shared" si="6"/>
        <v>0</v>
      </c>
    </row>
    <row r="433" spans="1:22" s="1" customFormat="1" x14ac:dyDescent="0.25">
      <c r="A433" s="33">
        <v>46121</v>
      </c>
      <c r="B433" s="9" t="s">
        <v>27</v>
      </c>
      <c r="C433" s="9" t="s">
        <v>36</v>
      </c>
      <c r="D433" s="35" t="s">
        <v>329</v>
      </c>
      <c r="E433" s="9" t="s">
        <v>330</v>
      </c>
      <c r="F433" s="35" t="s">
        <v>354</v>
      </c>
      <c r="G433" s="9" t="s">
        <v>332</v>
      </c>
      <c r="H433" s="9" t="s">
        <v>49</v>
      </c>
      <c r="I433" s="35">
        <v>9</v>
      </c>
      <c r="J433" s="9" t="s">
        <v>346</v>
      </c>
      <c r="K433" s="9">
        <v>58</v>
      </c>
      <c r="L433" s="38">
        <v>45</v>
      </c>
      <c r="M433" s="38">
        <v>2610</v>
      </c>
      <c r="N433" s="9">
        <v>43.5</v>
      </c>
      <c r="O433" s="9" t="s">
        <v>85</v>
      </c>
      <c r="P433" s="35">
        <v>58</v>
      </c>
      <c r="Q433" s="43"/>
      <c r="R433" s="35">
        <v>363.5</v>
      </c>
      <c r="S433" s="33">
        <v>46121</v>
      </c>
      <c r="T433" s="35">
        <v>44</v>
      </c>
      <c r="U433" s="35">
        <v>0.5</v>
      </c>
      <c r="V433" s="35">
        <f t="shared" si="6"/>
        <v>0</v>
      </c>
    </row>
    <row r="434" spans="1:22" s="4" customFormat="1" x14ac:dyDescent="0.25">
      <c r="A434" s="32">
        <v>46121</v>
      </c>
      <c r="B434" s="7" t="s">
        <v>27</v>
      </c>
      <c r="C434" s="7" t="s">
        <v>36</v>
      </c>
      <c r="D434" s="34" t="s">
        <v>329</v>
      </c>
      <c r="E434" s="7" t="s">
        <v>330</v>
      </c>
      <c r="F434" s="34" t="s">
        <v>354</v>
      </c>
      <c r="G434" s="7" t="s">
        <v>332</v>
      </c>
      <c r="H434" s="7" t="s">
        <v>49</v>
      </c>
      <c r="I434" s="34">
        <v>10</v>
      </c>
      <c r="J434" s="7" t="s">
        <v>348</v>
      </c>
      <c r="K434" s="7">
        <v>58</v>
      </c>
      <c r="L434" s="37">
        <v>40</v>
      </c>
      <c r="M434" s="37">
        <v>2320</v>
      </c>
      <c r="N434" s="7">
        <v>38.666666666666664</v>
      </c>
      <c r="O434" s="7" t="s">
        <v>85</v>
      </c>
      <c r="P434" s="34">
        <v>58</v>
      </c>
      <c r="Q434" s="44"/>
      <c r="R434" s="34">
        <v>325.33333333333331</v>
      </c>
      <c r="S434" s="32">
        <v>46123</v>
      </c>
      <c r="T434" s="34">
        <v>40</v>
      </c>
      <c r="U434" s="34">
        <v>1.3333333333333357</v>
      </c>
      <c r="V434" s="34">
        <f t="shared" si="6"/>
        <v>0</v>
      </c>
    </row>
    <row r="435" spans="1:22" s="1" customFormat="1" x14ac:dyDescent="0.25">
      <c r="A435" s="33">
        <v>46121</v>
      </c>
      <c r="B435" s="9" t="s">
        <v>333</v>
      </c>
      <c r="C435" s="9" t="s">
        <v>334</v>
      </c>
      <c r="D435" s="35" t="s">
        <v>329</v>
      </c>
      <c r="E435" s="9" t="s">
        <v>330</v>
      </c>
      <c r="F435" s="35" t="s">
        <v>354</v>
      </c>
      <c r="G435" s="9" t="s">
        <v>332</v>
      </c>
      <c r="H435" s="9" t="s">
        <v>49</v>
      </c>
      <c r="I435" s="35">
        <v>12</v>
      </c>
      <c r="J435" s="9" t="s">
        <v>350</v>
      </c>
      <c r="K435" s="9">
        <v>58</v>
      </c>
      <c r="L435" s="38">
        <v>30</v>
      </c>
      <c r="M435" s="38">
        <v>1740</v>
      </c>
      <c r="N435" s="9">
        <v>29</v>
      </c>
      <c r="O435" s="9" t="s">
        <v>85</v>
      </c>
      <c r="P435" s="35">
        <v>58</v>
      </c>
      <c r="Q435" s="43"/>
      <c r="R435" s="35">
        <v>441</v>
      </c>
      <c r="S435" s="33">
        <v>46121</v>
      </c>
      <c r="T435" s="35">
        <v>29</v>
      </c>
      <c r="U435" s="35">
        <v>0</v>
      </c>
      <c r="V435" s="35">
        <f t="shared" si="6"/>
        <v>0</v>
      </c>
    </row>
    <row r="436" spans="1:22" s="4" customFormat="1" x14ac:dyDescent="0.25">
      <c r="A436" s="32">
        <v>46121</v>
      </c>
      <c r="B436" s="7" t="s">
        <v>30</v>
      </c>
      <c r="C436" s="7" t="s">
        <v>40</v>
      </c>
      <c r="D436" s="34" t="s">
        <v>329</v>
      </c>
      <c r="E436" s="7" t="s">
        <v>330</v>
      </c>
      <c r="F436" s="34" t="s">
        <v>355</v>
      </c>
      <c r="G436" s="7" t="s">
        <v>332</v>
      </c>
      <c r="H436" s="7" t="s">
        <v>50</v>
      </c>
      <c r="I436" s="34">
        <v>4</v>
      </c>
      <c r="J436" s="7" t="s">
        <v>338</v>
      </c>
      <c r="K436" s="7">
        <v>29</v>
      </c>
      <c r="L436" s="37">
        <v>60</v>
      </c>
      <c r="M436" s="37">
        <v>1740</v>
      </c>
      <c r="N436" s="7">
        <v>29</v>
      </c>
      <c r="O436" s="7" t="s">
        <v>85</v>
      </c>
      <c r="P436" s="34">
        <v>29</v>
      </c>
      <c r="Q436" s="44"/>
      <c r="R436" s="34">
        <v>456</v>
      </c>
      <c r="S436" s="32">
        <v>46121</v>
      </c>
      <c r="T436" s="34">
        <v>29</v>
      </c>
      <c r="U436" s="34">
        <v>0</v>
      </c>
      <c r="V436" s="34">
        <f t="shared" si="6"/>
        <v>0</v>
      </c>
    </row>
    <row r="437" spans="1:22" s="1" customFormat="1" x14ac:dyDescent="0.25">
      <c r="A437" s="33">
        <v>46121</v>
      </c>
      <c r="B437" s="9" t="s">
        <v>30</v>
      </c>
      <c r="C437" s="9" t="s">
        <v>40</v>
      </c>
      <c r="D437" s="35" t="s">
        <v>329</v>
      </c>
      <c r="E437" s="9" t="s">
        <v>330</v>
      </c>
      <c r="F437" s="35" t="s">
        <v>355</v>
      </c>
      <c r="G437" s="9" t="s">
        <v>332</v>
      </c>
      <c r="H437" s="9" t="s">
        <v>50</v>
      </c>
      <c r="I437" s="35">
        <v>5</v>
      </c>
      <c r="J437" s="9" t="s">
        <v>340</v>
      </c>
      <c r="K437" s="9">
        <v>29</v>
      </c>
      <c r="L437" s="38">
        <v>40</v>
      </c>
      <c r="M437" s="38">
        <v>1160</v>
      </c>
      <c r="N437" s="9">
        <v>19.333333333333332</v>
      </c>
      <c r="O437" s="9" t="s">
        <v>85</v>
      </c>
      <c r="P437" s="35">
        <v>29</v>
      </c>
      <c r="Q437" s="43"/>
      <c r="R437" s="35">
        <v>436.66666666666669</v>
      </c>
      <c r="S437" s="33">
        <v>46121</v>
      </c>
      <c r="T437" s="35">
        <v>20</v>
      </c>
      <c r="U437" s="35">
        <v>0.66666666666666785</v>
      </c>
      <c r="V437" s="35">
        <f t="shared" si="6"/>
        <v>0</v>
      </c>
    </row>
    <row r="438" spans="1:22" s="4" customFormat="1" x14ac:dyDescent="0.25">
      <c r="A438" s="32">
        <v>46121</v>
      </c>
      <c r="B438" s="7" t="s">
        <v>30</v>
      </c>
      <c r="C438" s="7" t="s">
        <v>40</v>
      </c>
      <c r="D438" s="34" t="s">
        <v>329</v>
      </c>
      <c r="E438" s="7" t="s">
        <v>330</v>
      </c>
      <c r="F438" s="34" t="s">
        <v>355</v>
      </c>
      <c r="G438" s="7" t="s">
        <v>332</v>
      </c>
      <c r="H438" s="7" t="s">
        <v>50</v>
      </c>
      <c r="I438" s="34">
        <v>6</v>
      </c>
      <c r="J438" s="7" t="s">
        <v>342</v>
      </c>
      <c r="K438" s="7">
        <v>29</v>
      </c>
      <c r="L438" s="37">
        <v>65</v>
      </c>
      <c r="M438" s="37">
        <v>1885</v>
      </c>
      <c r="N438" s="7">
        <v>31.416666666666668</v>
      </c>
      <c r="O438" s="7" t="s">
        <v>85</v>
      </c>
      <c r="P438" s="34">
        <v>29</v>
      </c>
      <c r="Q438" s="44"/>
      <c r="R438" s="34">
        <v>405.58333333333331</v>
      </c>
      <c r="S438" s="32">
        <v>46121</v>
      </c>
      <c r="T438" s="34">
        <v>32</v>
      </c>
      <c r="U438" s="34">
        <v>0.58333333333333215</v>
      </c>
      <c r="V438" s="34">
        <f t="shared" si="6"/>
        <v>0</v>
      </c>
    </row>
    <row r="439" spans="1:22" s="1" customFormat="1" x14ac:dyDescent="0.25">
      <c r="A439" s="33">
        <v>46121</v>
      </c>
      <c r="B439" s="9" t="s">
        <v>333</v>
      </c>
      <c r="C439" s="9" t="s">
        <v>334</v>
      </c>
      <c r="D439" s="35" t="s">
        <v>329</v>
      </c>
      <c r="E439" s="9" t="s">
        <v>330</v>
      </c>
      <c r="F439" s="35" t="s">
        <v>355</v>
      </c>
      <c r="G439" s="9" t="s">
        <v>332</v>
      </c>
      <c r="H439" s="9" t="s">
        <v>50</v>
      </c>
      <c r="I439" s="35">
        <v>7</v>
      </c>
      <c r="J439" s="9" t="s">
        <v>228</v>
      </c>
      <c r="K439" s="9">
        <v>29</v>
      </c>
      <c r="L439" s="38">
        <v>60</v>
      </c>
      <c r="M439" s="38">
        <v>1740</v>
      </c>
      <c r="N439" s="9">
        <v>29</v>
      </c>
      <c r="O439" s="9" t="s">
        <v>85</v>
      </c>
      <c r="P439" s="35">
        <v>29</v>
      </c>
      <c r="Q439" s="43"/>
      <c r="R439" s="35">
        <v>412</v>
      </c>
      <c r="S439" s="33">
        <v>46121</v>
      </c>
      <c r="T439" s="35">
        <v>29</v>
      </c>
      <c r="U439" s="35">
        <v>0</v>
      </c>
      <c r="V439" s="35">
        <f t="shared" si="6"/>
        <v>0</v>
      </c>
    </row>
    <row r="440" spans="1:22" s="4" customFormat="1" x14ac:dyDescent="0.25">
      <c r="A440" s="32">
        <v>46121</v>
      </c>
      <c r="B440" s="7" t="s">
        <v>333</v>
      </c>
      <c r="C440" s="7" t="s">
        <v>334</v>
      </c>
      <c r="D440" s="34" t="s">
        <v>329</v>
      </c>
      <c r="E440" s="7" t="s">
        <v>330</v>
      </c>
      <c r="F440" s="34" t="s">
        <v>355</v>
      </c>
      <c r="G440" s="7" t="s">
        <v>332</v>
      </c>
      <c r="H440" s="7" t="s">
        <v>50</v>
      </c>
      <c r="I440" s="34">
        <v>12</v>
      </c>
      <c r="J440" s="7" t="s">
        <v>350</v>
      </c>
      <c r="K440" s="7">
        <v>29</v>
      </c>
      <c r="L440" s="37">
        <v>30</v>
      </c>
      <c r="M440" s="37">
        <v>870</v>
      </c>
      <c r="N440" s="7">
        <v>14.5</v>
      </c>
      <c r="O440" s="7" t="s">
        <v>85</v>
      </c>
      <c r="P440" s="34">
        <v>29</v>
      </c>
      <c r="Q440" s="44"/>
      <c r="R440" s="34">
        <v>397.5</v>
      </c>
      <c r="S440" s="32">
        <v>46121</v>
      </c>
      <c r="T440" s="34">
        <v>15</v>
      </c>
      <c r="U440" s="34">
        <v>0.5</v>
      </c>
      <c r="V440" s="34">
        <f t="shared" si="6"/>
        <v>0</v>
      </c>
    </row>
    <row r="441" spans="1:22" s="1" customFormat="1" x14ac:dyDescent="0.25">
      <c r="A441" s="33">
        <v>46121</v>
      </c>
      <c r="B441" s="9" t="s">
        <v>333</v>
      </c>
      <c r="C441" s="9" t="s">
        <v>334</v>
      </c>
      <c r="D441" s="35" t="s">
        <v>357</v>
      </c>
      <c r="E441" s="9" t="s">
        <v>358</v>
      </c>
      <c r="F441" s="35" t="s">
        <v>370</v>
      </c>
      <c r="G441" s="9" t="s">
        <v>55</v>
      </c>
      <c r="H441" s="9" t="s">
        <v>51</v>
      </c>
      <c r="I441" s="35">
        <v>1</v>
      </c>
      <c r="J441" s="9" t="s">
        <v>57</v>
      </c>
      <c r="K441" s="9">
        <v>69</v>
      </c>
      <c r="L441" s="38">
        <v>45</v>
      </c>
      <c r="M441" s="38">
        <v>3105</v>
      </c>
      <c r="N441" s="9">
        <v>51.75</v>
      </c>
      <c r="O441" s="9" t="s">
        <v>85</v>
      </c>
      <c r="P441" s="35">
        <v>69</v>
      </c>
      <c r="Q441" s="43"/>
      <c r="R441" s="35">
        <v>346.25</v>
      </c>
      <c r="S441" s="33">
        <v>46121</v>
      </c>
      <c r="T441" s="35">
        <v>60</v>
      </c>
      <c r="U441" s="35">
        <v>8.25</v>
      </c>
      <c r="V441" s="35">
        <f t="shared" si="6"/>
        <v>0</v>
      </c>
    </row>
    <row r="442" spans="1:22" s="4" customFormat="1" x14ac:dyDescent="0.25">
      <c r="A442" s="32">
        <v>46121</v>
      </c>
      <c r="B442" s="7" t="s">
        <v>333</v>
      </c>
      <c r="C442" s="7" t="s">
        <v>334</v>
      </c>
      <c r="D442" s="34" t="s">
        <v>357</v>
      </c>
      <c r="E442" s="7" t="s">
        <v>358</v>
      </c>
      <c r="F442" s="34" t="s">
        <v>371</v>
      </c>
      <c r="G442" s="7" t="s">
        <v>55</v>
      </c>
      <c r="H442" s="7" t="s">
        <v>48</v>
      </c>
      <c r="I442" s="34">
        <v>1</v>
      </c>
      <c r="J442" s="7" t="s">
        <v>57</v>
      </c>
      <c r="K442" s="7">
        <v>106</v>
      </c>
      <c r="L442" s="37">
        <v>45</v>
      </c>
      <c r="M442" s="37">
        <v>4770</v>
      </c>
      <c r="N442" s="7">
        <v>79.5</v>
      </c>
      <c r="O442" s="7" t="s">
        <v>85</v>
      </c>
      <c r="P442" s="34">
        <v>106</v>
      </c>
      <c r="Q442" s="44"/>
      <c r="R442" s="34">
        <v>267.5</v>
      </c>
      <c r="S442" s="32">
        <v>46121</v>
      </c>
      <c r="T442" s="34">
        <v>80</v>
      </c>
      <c r="U442" s="34">
        <v>0.5</v>
      </c>
      <c r="V442" s="34">
        <f t="shared" si="6"/>
        <v>0</v>
      </c>
    </row>
    <row r="443" spans="1:22" s="1" customFormat="1" x14ac:dyDescent="0.25">
      <c r="A443" s="33">
        <v>46121</v>
      </c>
      <c r="B443" s="9" t="s">
        <v>333</v>
      </c>
      <c r="C443" s="9" t="s">
        <v>334</v>
      </c>
      <c r="D443" s="35" t="s">
        <v>357</v>
      </c>
      <c r="E443" s="9" t="s">
        <v>358</v>
      </c>
      <c r="F443" s="35" t="s">
        <v>370</v>
      </c>
      <c r="G443" s="9" t="s">
        <v>55</v>
      </c>
      <c r="H443" s="9" t="s">
        <v>51</v>
      </c>
      <c r="I443" s="35">
        <v>6</v>
      </c>
      <c r="J443" s="9" t="s">
        <v>361</v>
      </c>
      <c r="K443" s="9">
        <v>69</v>
      </c>
      <c r="L443" s="38">
        <v>30</v>
      </c>
      <c r="M443" s="38">
        <v>2070</v>
      </c>
      <c r="N443" s="9">
        <v>34.5</v>
      </c>
      <c r="O443" s="9" t="s">
        <v>85</v>
      </c>
      <c r="P443" s="35">
        <v>69</v>
      </c>
      <c r="Q443" s="43"/>
      <c r="R443" s="35">
        <v>233.5</v>
      </c>
      <c r="S443" s="33">
        <v>46121</v>
      </c>
      <c r="T443" s="35">
        <v>35</v>
      </c>
      <c r="U443" s="35">
        <v>0.5</v>
      </c>
      <c r="V443" s="35">
        <f t="shared" si="6"/>
        <v>0</v>
      </c>
    </row>
    <row r="444" spans="1:22" s="4" customFormat="1" x14ac:dyDescent="0.25">
      <c r="A444" s="32">
        <v>46121</v>
      </c>
      <c r="B444" s="7" t="s">
        <v>333</v>
      </c>
      <c r="C444" s="7" t="s">
        <v>334</v>
      </c>
      <c r="D444" s="34" t="s">
        <v>357</v>
      </c>
      <c r="E444" s="7" t="s">
        <v>358</v>
      </c>
      <c r="F444" s="34" t="s">
        <v>371</v>
      </c>
      <c r="G444" s="7" t="s">
        <v>55</v>
      </c>
      <c r="H444" s="7" t="s">
        <v>48</v>
      </c>
      <c r="I444" s="34">
        <v>6</v>
      </c>
      <c r="J444" s="7" t="s">
        <v>361</v>
      </c>
      <c r="K444" s="7">
        <v>106</v>
      </c>
      <c r="L444" s="37">
        <v>30</v>
      </c>
      <c r="M444" s="37">
        <v>3180</v>
      </c>
      <c r="N444" s="7">
        <v>53</v>
      </c>
      <c r="O444" s="7" t="s">
        <v>85</v>
      </c>
      <c r="P444" s="34">
        <v>106</v>
      </c>
      <c r="Q444" s="44"/>
      <c r="R444" s="34">
        <v>181</v>
      </c>
      <c r="S444" s="32">
        <v>46121</v>
      </c>
      <c r="T444" s="34">
        <v>54</v>
      </c>
      <c r="U444" s="34">
        <v>1</v>
      </c>
      <c r="V444" s="34">
        <f t="shared" si="6"/>
        <v>0</v>
      </c>
    </row>
    <row r="445" spans="1:22" s="1" customFormat="1" x14ac:dyDescent="0.25">
      <c r="A445" s="33">
        <v>46121</v>
      </c>
      <c r="B445" s="9" t="s">
        <v>333</v>
      </c>
      <c r="C445" s="9" t="s">
        <v>334</v>
      </c>
      <c r="D445" s="35" t="s">
        <v>357</v>
      </c>
      <c r="E445" s="9" t="s">
        <v>358</v>
      </c>
      <c r="F445" s="35" t="s">
        <v>372</v>
      </c>
      <c r="G445" s="9" t="s">
        <v>55</v>
      </c>
      <c r="H445" s="9" t="s">
        <v>49</v>
      </c>
      <c r="I445" s="35">
        <v>6</v>
      </c>
      <c r="J445" s="9" t="s">
        <v>361</v>
      </c>
      <c r="K445" s="9">
        <v>69</v>
      </c>
      <c r="L445" s="38">
        <v>30</v>
      </c>
      <c r="M445" s="38">
        <v>2070</v>
      </c>
      <c r="N445" s="9">
        <v>34.5</v>
      </c>
      <c r="O445" s="9" t="s">
        <v>85</v>
      </c>
      <c r="P445" s="35">
        <v>69</v>
      </c>
      <c r="Q445" s="43"/>
      <c r="R445" s="35">
        <v>146.5</v>
      </c>
      <c r="S445" s="33">
        <v>46121</v>
      </c>
      <c r="T445" s="35">
        <v>35</v>
      </c>
      <c r="U445" s="35">
        <v>0.5</v>
      </c>
      <c r="V445" s="35">
        <f t="shared" si="6"/>
        <v>0</v>
      </c>
    </row>
    <row r="446" spans="1:22" s="4" customFormat="1" x14ac:dyDescent="0.25">
      <c r="A446" s="32">
        <v>46121</v>
      </c>
      <c r="B446" s="7" t="s">
        <v>333</v>
      </c>
      <c r="C446" s="7" t="s">
        <v>334</v>
      </c>
      <c r="D446" s="34" t="s">
        <v>357</v>
      </c>
      <c r="E446" s="7" t="s">
        <v>358</v>
      </c>
      <c r="F446" s="34" t="s">
        <v>373</v>
      </c>
      <c r="G446" s="7" t="s">
        <v>55</v>
      </c>
      <c r="H446" s="7" t="s">
        <v>50</v>
      </c>
      <c r="I446" s="34">
        <v>6</v>
      </c>
      <c r="J446" s="7" t="s">
        <v>361</v>
      </c>
      <c r="K446" s="7">
        <v>35</v>
      </c>
      <c r="L446" s="37">
        <v>30</v>
      </c>
      <c r="M446" s="37">
        <v>1050</v>
      </c>
      <c r="N446" s="7">
        <v>17.5</v>
      </c>
      <c r="O446" s="7" t="s">
        <v>85</v>
      </c>
      <c r="P446" s="34">
        <v>35</v>
      </c>
      <c r="Q446" s="44"/>
      <c r="R446" s="34">
        <v>129.5</v>
      </c>
      <c r="S446" s="32">
        <v>46121</v>
      </c>
      <c r="T446" s="34">
        <v>18</v>
      </c>
      <c r="U446" s="34">
        <v>0.5</v>
      </c>
      <c r="V446" s="34">
        <f t="shared" si="6"/>
        <v>0</v>
      </c>
    </row>
    <row r="447" spans="1:22" s="1" customFormat="1" x14ac:dyDescent="0.25">
      <c r="A447" s="33">
        <v>46122</v>
      </c>
      <c r="B447" s="9" t="s">
        <v>27</v>
      </c>
      <c r="C447" s="9" t="s">
        <v>36</v>
      </c>
      <c r="D447" s="35" t="s">
        <v>329</v>
      </c>
      <c r="E447" s="9" t="s">
        <v>330</v>
      </c>
      <c r="F447" s="35" t="s">
        <v>355</v>
      </c>
      <c r="G447" s="9" t="s">
        <v>332</v>
      </c>
      <c r="H447" s="9" t="s">
        <v>50</v>
      </c>
      <c r="I447" s="35">
        <v>8</v>
      </c>
      <c r="J447" s="9" t="s">
        <v>345</v>
      </c>
      <c r="K447" s="9">
        <v>29</v>
      </c>
      <c r="L447" s="38">
        <v>45</v>
      </c>
      <c r="M447" s="38">
        <v>1305</v>
      </c>
      <c r="N447" s="9">
        <v>21.75</v>
      </c>
      <c r="O447" s="9" t="s">
        <v>85</v>
      </c>
      <c r="P447" s="35">
        <v>29</v>
      </c>
      <c r="Q447" s="43"/>
      <c r="R447" s="35">
        <v>506.25</v>
      </c>
      <c r="S447" s="33">
        <v>46122</v>
      </c>
      <c r="T447" s="35">
        <v>25</v>
      </c>
      <c r="U447" s="35">
        <v>3.25</v>
      </c>
      <c r="V447" s="35">
        <f t="shared" si="6"/>
        <v>0</v>
      </c>
    </row>
    <row r="448" spans="1:22" s="4" customFormat="1" x14ac:dyDescent="0.25">
      <c r="A448" s="32">
        <v>46122</v>
      </c>
      <c r="B448" s="7" t="s">
        <v>27</v>
      </c>
      <c r="C448" s="7" t="s">
        <v>36</v>
      </c>
      <c r="D448" s="34" t="s">
        <v>329</v>
      </c>
      <c r="E448" s="7" t="s">
        <v>330</v>
      </c>
      <c r="F448" s="34" t="s">
        <v>355</v>
      </c>
      <c r="G448" s="7" t="s">
        <v>332</v>
      </c>
      <c r="H448" s="7" t="s">
        <v>50</v>
      </c>
      <c r="I448" s="34">
        <v>9</v>
      </c>
      <c r="J448" s="7" t="s">
        <v>346</v>
      </c>
      <c r="K448" s="7">
        <v>29</v>
      </c>
      <c r="L448" s="37">
        <v>45</v>
      </c>
      <c r="M448" s="37">
        <v>1305</v>
      </c>
      <c r="N448" s="7">
        <v>21.75</v>
      </c>
      <c r="O448" s="7" t="s">
        <v>85</v>
      </c>
      <c r="P448" s="34">
        <v>29</v>
      </c>
      <c r="Q448" s="44"/>
      <c r="R448" s="34">
        <v>485.25</v>
      </c>
      <c r="S448" s="32">
        <v>46122</v>
      </c>
      <c r="T448" s="34">
        <v>23</v>
      </c>
      <c r="U448" s="34">
        <v>1.25</v>
      </c>
      <c r="V448" s="34">
        <f t="shared" si="6"/>
        <v>0</v>
      </c>
    </row>
    <row r="449" spans="1:22" s="1" customFormat="1" x14ac:dyDescent="0.25">
      <c r="A449" s="33">
        <v>46122</v>
      </c>
      <c r="B449" s="9" t="s">
        <v>27</v>
      </c>
      <c r="C449" s="9" t="s">
        <v>36</v>
      </c>
      <c r="D449" s="35" t="s">
        <v>329</v>
      </c>
      <c r="E449" s="9" t="s">
        <v>330</v>
      </c>
      <c r="F449" s="35" t="s">
        <v>355</v>
      </c>
      <c r="G449" s="9" t="s">
        <v>332</v>
      </c>
      <c r="H449" s="9" t="s">
        <v>50</v>
      </c>
      <c r="I449" s="35">
        <v>10</v>
      </c>
      <c r="J449" s="9" t="s">
        <v>348</v>
      </c>
      <c r="K449" s="9">
        <v>29</v>
      </c>
      <c r="L449" s="38">
        <v>40</v>
      </c>
      <c r="M449" s="38">
        <v>1160</v>
      </c>
      <c r="N449" s="9">
        <v>19.333333333333332</v>
      </c>
      <c r="O449" s="9" t="s">
        <v>85</v>
      </c>
      <c r="P449" s="35">
        <v>29</v>
      </c>
      <c r="Q449" s="43"/>
      <c r="R449" s="35">
        <v>466.66666666666669</v>
      </c>
      <c r="S449" s="33">
        <v>46122</v>
      </c>
      <c r="T449" s="35">
        <v>20</v>
      </c>
      <c r="U449" s="35">
        <v>0.66666666666666785</v>
      </c>
      <c r="V449" s="35">
        <f t="shared" si="6"/>
        <v>0</v>
      </c>
    </row>
    <row r="450" spans="1:22" s="4" customFormat="1" x14ac:dyDescent="0.25">
      <c r="A450" s="32">
        <v>46122</v>
      </c>
      <c r="B450" s="7" t="s">
        <v>30</v>
      </c>
      <c r="C450" s="7" t="s">
        <v>40</v>
      </c>
      <c r="D450" s="34" t="s">
        <v>357</v>
      </c>
      <c r="E450" s="7" t="s">
        <v>358</v>
      </c>
      <c r="F450" s="34" t="s">
        <v>370</v>
      </c>
      <c r="G450" s="7" t="s">
        <v>55</v>
      </c>
      <c r="H450" s="7" t="s">
        <v>51</v>
      </c>
      <c r="I450" s="34">
        <v>2</v>
      </c>
      <c r="J450" s="7" t="s">
        <v>60</v>
      </c>
      <c r="K450" s="7">
        <v>69</v>
      </c>
      <c r="L450" s="37">
        <v>65</v>
      </c>
      <c r="M450" s="37">
        <v>4485</v>
      </c>
      <c r="N450" s="7">
        <v>74.75</v>
      </c>
      <c r="O450" s="7" t="s">
        <v>85</v>
      </c>
      <c r="P450" s="34">
        <v>69</v>
      </c>
      <c r="Q450" s="44"/>
      <c r="R450" s="34">
        <v>453.25</v>
      </c>
      <c r="S450" s="32">
        <v>46122</v>
      </c>
      <c r="T450" s="34">
        <v>80</v>
      </c>
      <c r="U450" s="34">
        <v>5.25</v>
      </c>
      <c r="V450" s="34">
        <f t="shared" si="6"/>
        <v>0</v>
      </c>
    </row>
    <row r="451" spans="1:22" s="1" customFormat="1" x14ac:dyDescent="0.25">
      <c r="A451" s="33">
        <v>46122</v>
      </c>
      <c r="B451" s="9" t="s">
        <v>30</v>
      </c>
      <c r="C451" s="9" t="s">
        <v>40</v>
      </c>
      <c r="D451" s="35" t="s">
        <v>357</v>
      </c>
      <c r="E451" s="9" t="s">
        <v>358</v>
      </c>
      <c r="F451" s="35" t="s">
        <v>370</v>
      </c>
      <c r="G451" s="9" t="s">
        <v>55</v>
      </c>
      <c r="H451" s="9" t="s">
        <v>51</v>
      </c>
      <c r="I451" s="35">
        <v>3</v>
      </c>
      <c r="J451" s="9" t="s">
        <v>132</v>
      </c>
      <c r="K451" s="9">
        <v>69</v>
      </c>
      <c r="L451" s="38">
        <v>40</v>
      </c>
      <c r="M451" s="38">
        <v>2760</v>
      </c>
      <c r="N451" s="9">
        <v>46</v>
      </c>
      <c r="O451" s="9" t="s">
        <v>85</v>
      </c>
      <c r="P451" s="35">
        <v>69</v>
      </c>
      <c r="Q451" s="43"/>
      <c r="R451" s="35">
        <v>408</v>
      </c>
      <c r="S451" s="33">
        <v>46122</v>
      </c>
      <c r="T451" s="35">
        <v>47</v>
      </c>
      <c r="U451" s="35">
        <v>1</v>
      </c>
      <c r="V451" s="35">
        <f t="shared" si="6"/>
        <v>0</v>
      </c>
    </row>
    <row r="452" spans="1:22" s="4" customFormat="1" x14ac:dyDescent="0.25">
      <c r="A452" s="32">
        <v>46122</v>
      </c>
      <c r="B452" s="7" t="s">
        <v>333</v>
      </c>
      <c r="C452" s="7" t="s">
        <v>334</v>
      </c>
      <c r="D452" s="34" t="s">
        <v>357</v>
      </c>
      <c r="E452" s="7" t="s">
        <v>358</v>
      </c>
      <c r="F452" s="34" t="s">
        <v>370</v>
      </c>
      <c r="G452" s="7" t="s">
        <v>55</v>
      </c>
      <c r="H452" s="7" t="s">
        <v>51</v>
      </c>
      <c r="I452" s="34">
        <v>4</v>
      </c>
      <c r="J452" s="7" t="s">
        <v>43</v>
      </c>
      <c r="K452" s="7">
        <v>69</v>
      </c>
      <c r="L452" s="37">
        <v>90</v>
      </c>
      <c r="M452" s="37">
        <v>6210</v>
      </c>
      <c r="N452" s="7">
        <v>103.5</v>
      </c>
      <c r="O452" s="7" t="s">
        <v>85</v>
      </c>
      <c r="P452" s="34">
        <v>69</v>
      </c>
      <c r="Q452" s="44"/>
      <c r="R452" s="34">
        <v>424.5</v>
      </c>
      <c r="S452" s="32">
        <v>46122</v>
      </c>
      <c r="T452" s="34">
        <v>105</v>
      </c>
      <c r="U452" s="34">
        <v>1.5</v>
      </c>
      <c r="V452" s="34">
        <f t="shared" si="6"/>
        <v>0</v>
      </c>
    </row>
    <row r="453" spans="1:22" s="1" customFormat="1" x14ac:dyDescent="0.25">
      <c r="A453" s="33">
        <v>46122</v>
      </c>
      <c r="B453" s="9" t="s">
        <v>333</v>
      </c>
      <c r="C453" s="9" t="s">
        <v>334</v>
      </c>
      <c r="D453" s="35" t="s">
        <v>357</v>
      </c>
      <c r="E453" s="9" t="s">
        <v>358</v>
      </c>
      <c r="F453" s="35" t="s">
        <v>370</v>
      </c>
      <c r="G453" s="9" t="s">
        <v>55</v>
      </c>
      <c r="H453" s="9" t="s">
        <v>51</v>
      </c>
      <c r="I453" s="35">
        <v>5</v>
      </c>
      <c r="J453" s="9" t="s">
        <v>360</v>
      </c>
      <c r="K453" s="9">
        <v>69</v>
      </c>
      <c r="L453" s="38">
        <v>100</v>
      </c>
      <c r="M453" s="38">
        <v>6900</v>
      </c>
      <c r="N453" s="9">
        <v>115</v>
      </c>
      <c r="O453" s="9" t="s">
        <v>85</v>
      </c>
      <c r="P453" s="35">
        <v>69</v>
      </c>
      <c r="Q453" s="43"/>
      <c r="R453" s="35">
        <v>310</v>
      </c>
      <c r="S453" s="33">
        <v>46122</v>
      </c>
      <c r="T453" s="35">
        <v>120</v>
      </c>
      <c r="U453" s="35">
        <v>5</v>
      </c>
      <c r="V453" s="35">
        <f t="shared" ref="V453:V463" si="7">+K453-P453</f>
        <v>0</v>
      </c>
    </row>
    <row r="454" spans="1:22" s="4" customFormat="1" x14ac:dyDescent="0.25">
      <c r="A454" s="32">
        <v>46122</v>
      </c>
      <c r="B454" s="7" t="s">
        <v>30</v>
      </c>
      <c r="C454" s="7" t="s">
        <v>40</v>
      </c>
      <c r="D454" s="34" t="s">
        <v>357</v>
      </c>
      <c r="E454" s="7" t="s">
        <v>358</v>
      </c>
      <c r="F454" s="34" t="s">
        <v>370</v>
      </c>
      <c r="G454" s="7" t="s">
        <v>55</v>
      </c>
      <c r="H454" s="7" t="s">
        <v>51</v>
      </c>
      <c r="I454" s="34">
        <v>10</v>
      </c>
      <c r="J454" s="7" t="s">
        <v>294</v>
      </c>
      <c r="K454" s="7">
        <v>69</v>
      </c>
      <c r="L454" s="37">
        <v>180</v>
      </c>
      <c r="M454" s="37">
        <v>12420</v>
      </c>
      <c r="N454" s="7">
        <v>207</v>
      </c>
      <c r="O454" s="7" t="s">
        <v>85</v>
      </c>
      <c r="P454" s="34">
        <v>69</v>
      </c>
      <c r="Q454" s="44"/>
      <c r="R454" s="34">
        <v>201</v>
      </c>
      <c r="S454" s="32">
        <v>46122</v>
      </c>
      <c r="T454" s="34">
        <v>209</v>
      </c>
      <c r="U454" s="34">
        <v>2</v>
      </c>
      <c r="V454" s="34">
        <f t="shared" si="7"/>
        <v>0</v>
      </c>
    </row>
    <row r="455" spans="1:22" s="1" customFormat="1" x14ac:dyDescent="0.25">
      <c r="A455" s="33">
        <v>46122</v>
      </c>
      <c r="B455" s="9" t="s">
        <v>29</v>
      </c>
      <c r="C455" s="9" t="s">
        <v>38</v>
      </c>
      <c r="D455" s="35" t="s">
        <v>357</v>
      </c>
      <c r="E455" s="9" t="s">
        <v>358</v>
      </c>
      <c r="F455" s="35" t="s">
        <v>371</v>
      </c>
      <c r="G455" s="9" t="s">
        <v>55</v>
      </c>
      <c r="H455" s="9" t="s">
        <v>48</v>
      </c>
      <c r="I455" s="35">
        <v>2</v>
      </c>
      <c r="J455" s="9" t="s">
        <v>60</v>
      </c>
      <c r="K455" s="9">
        <v>106</v>
      </c>
      <c r="L455" s="38">
        <v>65</v>
      </c>
      <c r="M455" s="38">
        <v>6890</v>
      </c>
      <c r="N455" s="9">
        <v>114.83333333333333</v>
      </c>
      <c r="O455" s="9" t="s">
        <v>85</v>
      </c>
      <c r="P455" s="35">
        <v>106</v>
      </c>
      <c r="Q455" s="43"/>
      <c r="R455" s="35">
        <v>413.16666666666669</v>
      </c>
      <c r="S455" s="33">
        <v>46122</v>
      </c>
      <c r="T455" s="35">
        <v>120</v>
      </c>
      <c r="U455" s="35">
        <v>5.1666666666666714</v>
      </c>
      <c r="V455" s="35">
        <f t="shared" si="7"/>
        <v>0</v>
      </c>
    </row>
    <row r="456" spans="1:22" s="4" customFormat="1" x14ac:dyDescent="0.25">
      <c r="A456" s="32">
        <v>46122</v>
      </c>
      <c r="B456" s="7" t="s">
        <v>30</v>
      </c>
      <c r="C456" s="7" t="s">
        <v>40</v>
      </c>
      <c r="D456" s="34" t="s">
        <v>357</v>
      </c>
      <c r="E456" s="7" t="s">
        <v>358</v>
      </c>
      <c r="F456" s="34" t="s">
        <v>371</v>
      </c>
      <c r="G456" s="7" t="s">
        <v>55</v>
      </c>
      <c r="H456" s="7" t="s">
        <v>48</v>
      </c>
      <c r="I456" s="34">
        <v>3</v>
      </c>
      <c r="J456" s="7" t="s">
        <v>132</v>
      </c>
      <c r="K456" s="7">
        <v>106</v>
      </c>
      <c r="L456" s="37">
        <v>40</v>
      </c>
      <c r="M456" s="37">
        <v>4240</v>
      </c>
      <c r="N456" s="7">
        <v>70.666666666666671</v>
      </c>
      <c r="O456" s="7" t="s">
        <v>85</v>
      </c>
      <c r="P456" s="34">
        <v>106</v>
      </c>
      <c r="Q456" s="44"/>
      <c r="R456" s="34">
        <v>130.33333333333331</v>
      </c>
      <c r="S456" s="32">
        <v>46122</v>
      </c>
      <c r="T456" s="34">
        <v>72</v>
      </c>
      <c r="U456" s="34">
        <v>1.3333333333333286</v>
      </c>
      <c r="V456" s="34">
        <f t="shared" si="7"/>
        <v>0</v>
      </c>
    </row>
    <row r="457" spans="1:22" s="1" customFormat="1" x14ac:dyDescent="0.25">
      <c r="A457" s="33">
        <v>46122</v>
      </c>
      <c r="B457" s="9" t="s">
        <v>333</v>
      </c>
      <c r="C457" s="9" t="s">
        <v>334</v>
      </c>
      <c r="D457" s="35" t="s">
        <v>357</v>
      </c>
      <c r="E457" s="9" t="s">
        <v>358</v>
      </c>
      <c r="F457" s="35" t="s">
        <v>371</v>
      </c>
      <c r="G457" s="9" t="s">
        <v>55</v>
      </c>
      <c r="H457" s="9" t="s">
        <v>48</v>
      </c>
      <c r="I457" s="35">
        <v>4</v>
      </c>
      <c r="J457" s="9" t="s">
        <v>43</v>
      </c>
      <c r="K457" s="9">
        <v>106</v>
      </c>
      <c r="L457" s="38">
        <v>90</v>
      </c>
      <c r="M457" s="38">
        <v>9540</v>
      </c>
      <c r="N457" s="9">
        <v>159</v>
      </c>
      <c r="O457" s="9" t="s">
        <v>85</v>
      </c>
      <c r="P457" s="35">
        <v>106</v>
      </c>
      <c r="Q457" s="43"/>
      <c r="R457" s="35">
        <v>151</v>
      </c>
      <c r="S457" s="33">
        <v>46122</v>
      </c>
      <c r="T457" s="35">
        <v>160</v>
      </c>
      <c r="U457" s="35">
        <v>1</v>
      </c>
      <c r="V457" s="35">
        <f t="shared" si="7"/>
        <v>0</v>
      </c>
    </row>
    <row r="458" spans="1:22" s="4" customFormat="1" x14ac:dyDescent="0.25">
      <c r="A458" s="32">
        <v>46125</v>
      </c>
      <c r="B458" s="7" t="s">
        <v>333</v>
      </c>
      <c r="C458" s="7" t="s">
        <v>334</v>
      </c>
      <c r="D458" s="34" t="s">
        <v>357</v>
      </c>
      <c r="E458" s="7" t="s">
        <v>358</v>
      </c>
      <c r="F458" s="34" t="s">
        <v>371</v>
      </c>
      <c r="G458" s="7" t="s">
        <v>55</v>
      </c>
      <c r="H458" s="7" t="s">
        <v>48</v>
      </c>
      <c r="I458" s="34">
        <v>5</v>
      </c>
      <c r="J458" s="7" t="s">
        <v>360</v>
      </c>
      <c r="K458" s="7">
        <v>106</v>
      </c>
      <c r="L458" s="37">
        <v>100</v>
      </c>
      <c r="M458" s="37">
        <v>10600</v>
      </c>
      <c r="N458" s="7">
        <v>176.66666666666666</v>
      </c>
      <c r="O458" s="7" t="s">
        <v>395</v>
      </c>
      <c r="P458" s="34">
        <v>30</v>
      </c>
      <c r="Q458" s="44" t="s">
        <v>356</v>
      </c>
      <c r="R458" s="34">
        <v>351.33333333333337</v>
      </c>
      <c r="S458" s="34"/>
      <c r="T458" s="34">
        <v>0</v>
      </c>
      <c r="U458" s="34">
        <v>0</v>
      </c>
      <c r="V458" s="34">
        <f t="shared" si="7"/>
        <v>76</v>
      </c>
    </row>
    <row r="459" spans="1:22" s="1" customFormat="1" x14ac:dyDescent="0.25">
      <c r="A459" s="33">
        <v>46122</v>
      </c>
      <c r="B459" s="9" t="s">
        <v>29</v>
      </c>
      <c r="C459" s="9" t="s">
        <v>38</v>
      </c>
      <c r="D459" s="35" t="s">
        <v>357</v>
      </c>
      <c r="E459" s="9" t="s">
        <v>358</v>
      </c>
      <c r="F459" s="35" t="s">
        <v>372</v>
      </c>
      <c r="G459" s="9" t="s">
        <v>55</v>
      </c>
      <c r="H459" s="9" t="s">
        <v>49</v>
      </c>
      <c r="I459" s="35">
        <v>2</v>
      </c>
      <c r="J459" s="9" t="s">
        <v>60</v>
      </c>
      <c r="K459" s="9">
        <v>69</v>
      </c>
      <c r="L459" s="38">
        <v>65</v>
      </c>
      <c r="M459" s="38">
        <v>4485</v>
      </c>
      <c r="N459" s="9">
        <v>74.75</v>
      </c>
      <c r="O459" s="9" t="s">
        <v>85</v>
      </c>
      <c r="P459" s="35">
        <v>69</v>
      </c>
      <c r="Q459" s="43"/>
      <c r="R459" s="35">
        <v>339.25</v>
      </c>
      <c r="S459" s="33">
        <v>46122</v>
      </c>
      <c r="T459" s="35">
        <v>80</v>
      </c>
      <c r="U459" s="35">
        <v>5.25</v>
      </c>
      <c r="V459" s="35">
        <f t="shared" si="7"/>
        <v>0</v>
      </c>
    </row>
    <row r="460" spans="1:22" s="4" customFormat="1" x14ac:dyDescent="0.25">
      <c r="A460" s="32">
        <v>46122</v>
      </c>
      <c r="B460" s="7" t="s">
        <v>27</v>
      </c>
      <c r="C460" s="7" t="s">
        <v>36</v>
      </c>
      <c r="D460" s="34" t="s">
        <v>357</v>
      </c>
      <c r="E460" s="7" t="s">
        <v>358</v>
      </c>
      <c r="F460" s="34" t="s">
        <v>372</v>
      </c>
      <c r="G460" s="7" t="s">
        <v>55</v>
      </c>
      <c r="H460" s="7" t="s">
        <v>49</v>
      </c>
      <c r="I460" s="34">
        <v>3</v>
      </c>
      <c r="J460" s="7" t="s">
        <v>132</v>
      </c>
      <c r="K460" s="7">
        <v>69</v>
      </c>
      <c r="L460" s="37">
        <v>40</v>
      </c>
      <c r="M460" s="37">
        <v>2760</v>
      </c>
      <c r="N460" s="7">
        <v>46</v>
      </c>
      <c r="O460" s="7" t="s">
        <v>85</v>
      </c>
      <c r="P460" s="34">
        <v>69</v>
      </c>
      <c r="Q460" s="44"/>
      <c r="R460" s="34">
        <v>482</v>
      </c>
      <c r="S460" s="32">
        <v>46122</v>
      </c>
      <c r="T460" s="34">
        <v>47</v>
      </c>
      <c r="U460" s="34">
        <v>1</v>
      </c>
      <c r="V460" s="34">
        <f t="shared" si="7"/>
        <v>0</v>
      </c>
    </row>
    <row r="461" spans="1:22" s="1" customFormat="1" x14ac:dyDescent="0.25">
      <c r="A461" s="33">
        <v>46122</v>
      </c>
      <c r="B461" s="9" t="s">
        <v>29</v>
      </c>
      <c r="C461" s="9" t="s">
        <v>38</v>
      </c>
      <c r="D461" s="35" t="s">
        <v>357</v>
      </c>
      <c r="E461" s="9" t="s">
        <v>358</v>
      </c>
      <c r="F461" s="35" t="s">
        <v>373</v>
      </c>
      <c r="G461" s="9" t="s">
        <v>55</v>
      </c>
      <c r="H461" s="9" t="s">
        <v>50</v>
      </c>
      <c r="I461" s="35">
        <v>2</v>
      </c>
      <c r="J461" s="9" t="s">
        <v>60</v>
      </c>
      <c r="K461" s="9">
        <v>35</v>
      </c>
      <c r="L461" s="38">
        <v>65</v>
      </c>
      <c r="M461" s="38">
        <v>2275</v>
      </c>
      <c r="N461" s="9">
        <v>37.916666666666664</v>
      </c>
      <c r="O461" s="9" t="s">
        <v>85</v>
      </c>
      <c r="P461" s="35">
        <v>35</v>
      </c>
      <c r="Q461" s="43"/>
      <c r="R461" s="35">
        <v>490.08333333333331</v>
      </c>
      <c r="S461" s="33">
        <v>46122</v>
      </c>
      <c r="T461" s="35">
        <v>38</v>
      </c>
      <c r="U461" s="35">
        <v>8.3333333333335702E-2</v>
      </c>
      <c r="V461" s="35">
        <f t="shared" si="7"/>
        <v>0</v>
      </c>
    </row>
    <row r="462" spans="1:22" s="4" customFormat="1" x14ac:dyDescent="0.25">
      <c r="A462" s="32">
        <v>46123</v>
      </c>
      <c r="B462" s="7" t="s">
        <v>333</v>
      </c>
      <c r="C462" s="7" t="s">
        <v>334</v>
      </c>
      <c r="D462" s="34" t="s">
        <v>357</v>
      </c>
      <c r="E462" s="7" t="s">
        <v>358</v>
      </c>
      <c r="F462" s="34" t="s">
        <v>372</v>
      </c>
      <c r="G462" s="7" t="s">
        <v>55</v>
      </c>
      <c r="H462" s="7" t="s">
        <v>49</v>
      </c>
      <c r="I462" s="34">
        <v>1</v>
      </c>
      <c r="J462" s="7" t="s">
        <v>57</v>
      </c>
      <c r="K462" s="7">
        <v>69</v>
      </c>
      <c r="L462" s="37">
        <v>45</v>
      </c>
      <c r="M462" s="37">
        <v>3105</v>
      </c>
      <c r="N462" s="7">
        <v>51.75</v>
      </c>
      <c r="O462" s="7" t="s">
        <v>52</v>
      </c>
      <c r="P462" s="34">
        <v>0</v>
      </c>
      <c r="Q462" s="44"/>
      <c r="R462" s="34">
        <v>476.25</v>
      </c>
      <c r="S462" s="34"/>
      <c r="T462" s="34">
        <v>0</v>
      </c>
      <c r="U462" s="34">
        <v>0</v>
      </c>
      <c r="V462" s="34">
        <f t="shared" si="7"/>
        <v>69</v>
      </c>
    </row>
    <row r="463" spans="1:22" s="1" customFormat="1" x14ac:dyDescent="0.25">
      <c r="A463" s="33">
        <v>46123</v>
      </c>
      <c r="B463" s="9" t="s">
        <v>333</v>
      </c>
      <c r="C463" s="9" t="s">
        <v>334</v>
      </c>
      <c r="D463" s="35" t="s">
        <v>357</v>
      </c>
      <c r="E463" s="9" t="s">
        <v>358</v>
      </c>
      <c r="F463" s="35" t="s">
        <v>373</v>
      </c>
      <c r="G463" s="9" t="s">
        <v>55</v>
      </c>
      <c r="H463" s="9" t="s">
        <v>50</v>
      </c>
      <c r="I463" s="35">
        <v>1</v>
      </c>
      <c r="J463" s="9" t="s">
        <v>57</v>
      </c>
      <c r="K463" s="9">
        <v>35</v>
      </c>
      <c r="L463" s="38">
        <v>45</v>
      </c>
      <c r="M463" s="38">
        <v>1575</v>
      </c>
      <c r="N463" s="9">
        <v>26.25</v>
      </c>
      <c r="O463" s="9" t="s">
        <v>52</v>
      </c>
      <c r="P463" s="35">
        <v>0</v>
      </c>
      <c r="Q463" s="43"/>
      <c r="R463" s="35">
        <v>450.75</v>
      </c>
      <c r="S463" s="35"/>
      <c r="T463" s="35">
        <v>0</v>
      </c>
      <c r="U463" s="35">
        <v>0</v>
      </c>
      <c r="V463" s="35">
        <f t="shared" si="7"/>
        <v>35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7043A-6BCF-428F-84CA-161C15284590}">
  <sheetPr codeName="Hoja5">
    <tabColor rgb="FF0070C0"/>
  </sheetPr>
  <dimension ref="A1:U11"/>
  <sheetViews>
    <sheetView workbookViewId="0">
      <selection activeCell="C5" sqref="C5"/>
    </sheetView>
  </sheetViews>
  <sheetFormatPr baseColWidth="10" defaultColWidth="6.7109375" defaultRowHeight="20.100000000000001" customHeight="1" x14ac:dyDescent="0.25"/>
  <cols>
    <col min="1" max="1" width="6.7109375" customWidth="1"/>
    <col min="2" max="2" width="30.7109375" customWidth="1"/>
    <col min="3" max="3" width="15.5703125" bestFit="1" customWidth="1"/>
    <col min="4" max="4" width="9.7109375" customWidth="1"/>
    <col min="5" max="5" width="16.7109375" bestFit="1" customWidth="1"/>
    <col min="6" max="6" width="11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163</v>
      </c>
      <c r="B3" s="6" t="s">
        <v>164</v>
      </c>
      <c r="C3" s="6" t="s">
        <v>240</v>
      </c>
      <c r="D3" s="6" t="s">
        <v>0</v>
      </c>
      <c r="E3" s="6" t="s">
        <v>1</v>
      </c>
      <c r="F3" s="6" t="s">
        <v>2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20.100000000000001" customHeight="1" x14ac:dyDescent="0.25">
      <c r="A4" t="s">
        <v>27</v>
      </c>
      <c r="B4" t="s">
        <v>397</v>
      </c>
      <c r="C4">
        <v>438</v>
      </c>
      <c r="D4" t="s">
        <v>28</v>
      </c>
      <c r="E4" t="s">
        <v>37</v>
      </c>
    </row>
    <row r="5" spans="1:21" ht="20.100000000000001" customHeight="1" x14ac:dyDescent="0.25">
      <c r="A5" t="s">
        <v>29</v>
      </c>
      <c r="B5" t="s">
        <v>398</v>
      </c>
      <c r="C5" s="39">
        <v>528</v>
      </c>
      <c r="D5" t="s">
        <v>28</v>
      </c>
      <c r="E5" t="s">
        <v>39</v>
      </c>
      <c r="F5">
        <v>3027506029</v>
      </c>
    </row>
    <row r="6" spans="1:21" ht="20.100000000000001" customHeight="1" x14ac:dyDescent="0.25">
      <c r="A6" t="s">
        <v>30</v>
      </c>
      <c r="B6" t="s">
        <v>399</v>
      </c>
      <c r="C6">
        <v>528</v>
      </c>
      <c r="D6" t="s">
        <v>28</v>
      </c>
      <c r="E6" t="s">
        <v>41</v>
      </c>
    </row>
    <row r="7" spans="1:21" ht="20.100000000000001" customHeight="1" x14ac:dyDescent="0.25">
      <c r="A7" t="s">
        <v>44</v>
      </c>
      <c r="B7" t="s">
        <v>45</v>
      </c>
      <c r="C7">
        <v>528</v>
      </c>
      <c r="D7" t="s">
        <v>239</v>
      </c>
      <c r="E7" t="s">
        <v>46</v>
      </c>
    </row>
    <row r="8" spans="1:21" ht="20.100000000000001" customHeight="1" x14ac:dyDescent="0.25">
      <c r="A8" t="s">
        <v>122</v>
      </c>
      <c r="B8" t="s">
        <v>400</v>
      </c>
      <c r="C8">
        <v>528</v>
      </c>
      <c r="D8" t="s">
        <v>28</v>
      </c>
      <c r="E8" t="s">
        <v>123</v>
      </c>
    </row>
    <row r="9" spans="1:21" ht="20.100000000000001" customHeight="1" x14ac:dyDescent="0.25">
      <c r="A9" t="s">
        <v>124</v>
      </c>
      <c r="B9" t="s">
        <v>125</v>
      </c>
      <c r="C9">
        <v>528</v>
      </c>
      <c r="D9" t="s">
        <v>239</v>
      </c>
      <c r="E9" t="s">
        <v>126</v>
      </c>
    </row>
    <row r="10" spans="1:21" ht="20.100000000000001" customHeight="1" x14ac:dyDescent="0.25">
      <c r="A10" t="s">
        <v>214</v>
      </c>
      <c r="B10" t="s">
        <v>401</v>
      </c>
      <c r="C10">
        <v>528</v>
      </c>
      <c r="D10" t="s">
        <v>239</v>
      </c>
      <c r="E10" t="s">
        <v>216</v>
      </c>
    </row>
    <row r="11" spans="1:21" ht="20.100000000000001" customHeight="1" x14ac:dyDescent="0.25">
      <c r="A11" t="s">
        <v>333</v>
      </c>
      <c r="B11" t="s">
        <v>402</v>
      </c>
      <c r="C11">
        <v>528</v>
      </c>
      <c r="D11" t="s">
        <v>28</v>
      </c>
      <c r="E11" t="s">
        <v>335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6DD77-5375-4049-AA1A-78803F29C570}">
  <sheetPr codeName="Hoja6">
    <tabColor rgb="FF0070C0"/>
  </sheetPr>
  <dimension ref="A1:U11"/>
  <sheetViews>
    <sheetView workbookViewId="0">
      <selection activeCell="B11" sqref="B11"/>
    </sheetView>
  </sheetViews>
  <sheetFormatPr baseColWidth="10" defaultColWidth="6.7109375" defaultRowHeight="20.100000000000001" customHeight="1" x14ac:dyDescent="0.25"/>
  <cols>
    <col min="1" max="1" width="15.7109375" bestFit="1" customWidth="1"/>
    <col min="2" max="2" width="32.140625" bestFit="1" customWidth="1"/>
    <col min="3" max="3" width="38.28515625" bestFit="1" customWidth="1"/>
    <col min="4" max="4" width="10.85546875" bestFit="1" customWidth="1"/>
    <col min="5" max="5" width="17.4257812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165</v>
      </c>
      <c r="B3" s="6" t="s">
        <v>166</v>
      </c>
      <c r="C3" s="6" t="s">
        <v>96</v>
      </c>
      <c r="D3" s="6" t="s">
        <v>241</v>
      </c>
      <c r="E3" s="6" t="s">
        <v>242</v>
      </c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53</v>
      </c>
      <c r="B4" t="s">
        <v>358</v>
      </c>
      <c r="E4">
        <v>855</v>
      </c>
    </row>
    <row r="5" spans="1:21" ht="15" x14ac:dyDescent="0.25">
      <c r="A5" t="s">
        <v>403</v>
      </c>
      <c r="B5" t="s">
        <v>120</v>
      </c>
      <c r="C5" t="s">
        <v>121</v>
      </c>
      <c r="E5">
        <v>780</v>
      </c>
    </row>
    <row r="6" spans="1:21" ht="15" x14ac:dyDescent="0.25">
      <c r="A6" t="s">
        <v>217</v>
      </c>
      <c r="B6" t="s">
        <v>218</v>
      </c>
      <c r="C6" t="s">
        <v>219</v>
      </c>
      <c r="E6">
        <v>780</v>
      </c>
    </row>
    <row r="7" spans="1:21" ht="15" x14ac:dyDescent="0.25">
      <c r="A7" t="s">
        <v>404</v>
      </c>
      <c r="B7" t="s">
        <v>261</v>
      </c>
      <c r="C7" t="s">
        <v>262</v>
      </c>
      <c r="E7">
        <v>815</v>
      </c>
    </row>
    <row r="8" spans="1:21" ht="15" x14ac:dyDescent="0.25">
      <c r="A8" t="s">
        <v>326</v>
      </c>
      <c r="B8" t="s">
        <v>272</v>
      </c>
      <c r="C8" t="s">
        <v>273</v>
      </c>
      <c r="E8">
        <v>730</v>
      </c>
    </row>
    <row r="9" spans="1:21" ht="15" x14ac:dyDescent="0.25">
      <c r="A9" t="s">
        <v>298</v>
      </c>
      <c r="B9" t="s">
        <v>299</v>
      </c>
      <c r="C9" t="s">
        <v>300</v>
      </c>
      <c r="E9">
        <v>920</v>
      </c>
    </row>
    <row r="10" spans="1:21" ht="15" x14ac:dyDescent="0.25">
      <c r="A10" t="s">
        <v>329</v>
      </c>
      <c r="B10" t="s">
        <v>330</v>
      </c>
      <c r="C10" t="s">
        <v>331</v>
      </c>
      <c r="E10">
        <v>795</v>
      </c>
    </row>
    <row r="11" spans="1:21" ht="15" x14ac:dyDescent="0.25">
      <c r="A11" t="s">
        <v>357</v>
      </c>
      <c r="B11" t="s">
        <v>405</v>
      </c>
      <c r="C11" t="s">
        <v>359</v>
      </c>
      <c r="E11">
        <v>870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DE2D-8D3E-4B2F-9E15-F2BDCD68418D}">
  <sheetPr codeName="Hoja7">
    <tabColor rgb="FF0070C0"/>
  </sheetPr>
  <dimension ref="A1:U15"/>
  <sheetViews>
    <sheetView workbookViewId="0">
      <selection activeCell="B7" sqref="B7"/>
    </sheetView>
  </sheetViews>
  <sheetFormatPr baseColWidth="10" defaultColWidth="6.7109375" defaultRowHeight="20.100000000000001" customHeight="1" x14ac:dyDescent="0.25"/>
  <cols>
    <col min="1" max="1" width="15.7109375" bestFit="1" customWidth="1"/>
    <col min="2" max="2" width="9.570312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165</v>
      </c>
      <c r="B3" s="6" t="s">
        <v>3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53</v>
      </c>
      <c r="B4" t="s">
        <v>56</v>
      </c>
    </row>
    <row r="5" spans="1:21" ht="15" x14ac:dyDescent="0.25">
      <c r="A5" t="s">
        <v>53</v>
      </c>
      <c r="B5" t="s">
        <v>55</v>
      </c>
    </row>
    <row r="6" spans="1:21" ht="15" x14ac:dyDescent="0.25">
      <c r="A6" t="s">
        <v>403</v>
      </c>
      <c r="B6" t="s">
        <v>154</v>
      </c>
    </row>
    <row r="7" spans="1:21" ht="15" x14ac:dyDescent="0.25">
      <c r="A7" t="s">
        <v>403</v>
      </c>
      <c r="B7" t="s">
        <v>153</v>
      </c>
    </row>
    <row r="8" spans="1:21" ht="15" x14ac:dyDescent="0.25">
      <c r="A8" t="s">
        <v>217</v>
      </c>
      <c r="B8" t="s">
        <v>55</v>
      </c>
    </row>
    <row r="9" spans="1:21" ht="15" x14ac:dyDescent="0.25">
      <c r="A9" t="s">
        <v>404</v>
      </c>
      <c r="B9" t="s">
        <v>274</v>
      </c>
    </row>
    <row r="10" spans="1:21" ht="15" x14ac:dyDescent="0.25">
      <c r="A10" t="s">
        <v>326</v>
      </c>
      <c r="B10" t="s">
        <v>275</v>
      </c>
    </row>
    <row r="11" spans="1:21" ht="20.100000000000001" customHeight="1" x14ac:dyDescent="0.25">
      <c r="A11" t="s">
        <v>297</v>
      </c>
      <c r="B11" t="s">
        <v>56</v>
      </c>
    </row>
    <row r="12" spans="1:21" ht="20.100000000000001" customHeight="1" x14ac:dyDescent="0.25">
      <c r="A12" t="s">
        <v>298</v>
      </c>
      <c r="B12" t="s">
        <v>301</v>
      </c>
    </row>
    <row r="13" spans="1:21" ht="20.100000000000001" customHeight="1" x14ac:dyDescent="0.25">
      <c r="A13" t="s">
        <v>298</v>
      </c>
      <c r="B13" t="s">
        <v>55</v>
      </c>
    </row>
    <row r="14" spans="1:21" ht="20.100000000000001" customHeight="1" x14ac:dyDescent="0.25">
      <c r="A14" t="s">
        <v>329</v>
      </c>
      <c r="B14" t="s">
        <v>332</v>
      </c>
    </row>
    <row r="15" spans="1:21" ht="20.100000000000001" customHeight="1" x14ac:dyDescent="0.25">
      <c r="A15" t="s">
        <v>357</v>
      </c>
      <c r="B15" t="s">
        <v>55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C587-F283-4A4B-AD54-69FE19D9542C}">
  <sheetPr codeName="Hoja8">
    <tabColor rgb="FF0070C0"/>
  </sheetPr>
  <dimension ref="A1:U32"/>
  <sheetViews>
    <sheetView workbookViewId="0">
      <selection activeCell="A30" sqref="A30"/>
    </sheetView>
  </sheetViews>
  <sheetFormatPr baseColWidth="10" defaultColWidth="6.7109375" defaultRowHeight="20.100000000000001" customHeight="1" x14ac:dyDescent="0.25"/>
  <cols>
    <col min="1" max="1" width="15.7109375" bestFit="1" customWidth="1"/>
    <col min="2" max="2" width="5.14062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165</v>
      </c>
      <c r="B3" s="6" t="s">
        <v>4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53</v>
      </c>
      <c r="B4" t="s">
        <v>51</v>
      </c>
    </row>
    <row r="5" spans="1:21" ht="15" x14ac:dyDescent="0.25">
      <c r="A5" t="s">
        <v>53</v>
      </c>
      <c r="B5" t="s">
        <v>48</v>
      </c>
    </row>
    <row r="6" spans="1:21" ht="15" x14ac:dyDescent="0.25">
      <c r="A6" t="s">
        <v>53</v>
      </c>
      <c r="B6" t="s">
        <v>49</v>
      </c>
    </row>
    <row r="7" spans="1:21" ht="15" x14ac:dyDescent="0.25">
      <c r="A7" t="s">
        <v>53</v>
      </c>
      <c r="B7" t="s">
        <v>50</v>
      </c>
    </row>
    <row r="8" spans="1:21" ht="15" x14ac:dyDescent="0.25">
      <c r="A8" t="s">
        <v>403</v>
      </c>
      <c r="B8" t="s">
        <v>152</v>
      </c>
    </row>
    <row r="9" spans="1:21" ht="15" x14ac:dyDescent="0.25">
      <c r="A9" t="s">
        <v>403</v>
      </c>
      <c r="B9" t="s">
        <v>51</v>
      </c>
    </row>
    <row r="10" spans="1:21" ht="15" x14ac:dyDescent="0.25">
      <c r="A10" t="s">
        <v>403</v>
      </c>
      <c r="B10" t="s">
        <v>48</v>
      </c>
    </row>
    <row r="11" spans="1:21" ht="15" x14ac:dyDescent="0.25">
      <c r="A11" t="s">
        <v>403</v>
      </c>
      <c r="B11" t="s">
        <v>49</v>
      </c>
    </row>
    <row r="12" spans="1:21" ht="15" x14ac:dyDescent="0.25">
      <c r="A12" t="s">
        <v>217</v>
      </c>
      <c r="B12" t="s">
        <v>51</v>
      </c>
    </row>
    <row r="13" spans="1:21" ht="15" x14ac:dyDescent="0.25">
      <c r="A13" t="s">
        <v>217</v>
      </c>
      <c r="B13" t="s">
        <v>48</v>
      </c>
    </row>
    <row r="14" spans="1:21" ht="15" x14ac:dyDescent="0.25">
      <c r="A14" t="s">
        <v>217</v>
      </c>
      <c r="B14" t="s">
        <v>49</v>
      </c>
    </row>
    <row r="15" spans="1:21" ht="15" x14ac:dyDescent="0.25">
      <c r="A15" t="s">
        <v>217</v>
      </c>
      <c r="B15" t="s">
        <v>50</v>
      </c>
    </row>
    <row r="16" spans="1:21" ht="15" x14ac:dyDescent="0.25">
      <c r="A16" t="s">
        <v>404</v>
      </c>
      <c r="B16" t="s">
        <v>51</v>
      </c>
    </row>
    <row r="17" spans="1:2" ht="15" x14ac:dyDescent="0.25">
      <c r="A17" t="s">
        <v>326</v>
      </c>
      <c r="B17" t="s">
        <v>152</v>
      </c>
    </row>
    <row r="18" spans="1:2" ht="15" x14ac:dyDescent="0.25">
      <c r="A18" t="s">
        <v>326</v>
      </c>
      <c r="B18" t="s">
        <v>51</v>
      </c>
    </row>
    <row r="19" spans="1:2" ht="15" x14ac:dyDescent="0.25">
      <c r="A19" t="s">
        <v>326</v>
      </c>
      <c r="B19" t="s">
        <v>48</v>
      </c>
    </row>
    <row r="20" spans="1:2" ht="15" x14ac:dyDescent="0.25">
      <c r="A20" t="s">
        <v>326</v>
      </c>
      <c r="B20" t="s">
        <v>49</v>
      </c>
    </row>
    <row r="21" spans="1:2" ht="15" x14ac:dyDescent="0.25">
      <c r="A21" t="s">
        <v>298</v>
      </c>
      <c r="B21" t="s">
        <v>51</v>
      </c>
    </row>
    <row r="22" spans="1:2" ht="15" x14ac:dyDescent="0.25">
      <c r="A22" t="s">
        <v>298</v>
      </c>
      <c r="B22" t="s">
        <v>48</v>
      </c>
    </row>
    <row r="23" spans="1:2" ht="15" x14ac:dyDescent="0.25">
      <c r="A23" t="s">
        <v>298</v>
      </c>
      <c r="B23" t="s">
        <v>49</v>
      </c>
    </row>
    <row r="24" spans="1:2" ht="15" x14ac:dyDescent="0.25">
      <c r="A24" t="s">
        <v>298</v>
      </c>
      <c r="B24" t="s">
        <v>50</v>
      </c>
    </row>
    <row r="25" spans="1:2" ht="20.100000000000001" customHeight="1" x14ac:dyDescent="0.25">
      <c r="A25" t="s">
        <v>329</v>
      </c>
      <c r="B25" t="s">
        <v>51</v>
      </c>
    </row>
    <row r="26" spans="1:2" ht="20.100000000000001" customHeight="1" x14ac:dyDescent="0.25">
      <c r="A26" t="s">
        <v>329</v>
      </c>
      <c r="B26" t="s">
        <v>48</v>
      </c>
    </row>
    <row r="27" spans="1:2" ht="20.100000000000001" customHeight="1" x14ac:dyDescent="0.25">
      <c r="A27" t="s">
        <v>329</v>
      </c>
      <c r="B27" t="s">
        <v>49</v>
      </c>
    </row>
    <row r="28" spans="1:2" ht="20.100000000000001" customHeight="1" x14ac:dyDescent="0.25">
      <c r="A28" t="s">
        <v>329</v>
      </c>
      <c r="B28" t="s">
        <v>50</v>
      </c>
    </row>
    <row r="29" spans="1:2" ht="20.100000000000001" customHeight="1" x14ac:dyDescent="0.25">
      <c r="A29" t="s">
        <v>357</v>
      </c>
      <c r="B29" t="s">
        <v>51</v>
      </c>
    </row>
    <row r="30" spans="1:2" ht="20.100000000000001" customHeight="1" x14ac:dyDescent="0.25">
      <c r="A30" t="s">
        <v>357</v>
      </c>
      <c r="B30" t="s">
        <v>48</v>
      </c>
    </row>
    <row r="31" spans="1:2" ht="20.100000000000001" customHeight="1" x14ac:dyDescent="0.25">
      <c r="A31" t="s">
        <v>357</v>
      </c>
      <c r="B31" t="s">
        <v>49</v>
      </c>
    </row>
    <row r="32" spans="1:2" ht="20.100000000000001" customHeight="1" x14ac:dyDescent="0.25">
      <c r="A32" t="s">
        <v>357</v>
      </c>
      <c r="B32" t="s">
        <v>50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BD60-B539-4CC1-8205-402875582003}">
  <sheetPr codeName="Hoja9">
    <tabColor rgb="FF0070C0"/>
  </sheetPr>
  <dimension ref="A1:U102"/>
  <sheetViews>
    <sheetView topLeftCell="A76" zoomScaleNormal="100" workbookViewId="0">
      <selection activeCell="D60" sqref="D60"/>
    </sheetView>
  </sheetViews>
  <sheetFormatPr baseColWidth="10" defaultColWidth="6.7109375" defaultRowHeight="20.100000000000001" customHeight="1" x14ac:dyDescent="0.25"/>
  <cols>
    <col min="1" max="1" width="15.7109375" bestFit="1" customWidth="1"/>
    <col min="2" max="2" width="14.140625" bestFit="1" customWidth="1"/>
    <col min="3" max="3" width="49.5703125" bestFit="1" customWidth="1"/>
    <col min="4" max="4" width="17.42578125" bestFit="1" customWidth="1"/>
    <col min="5" max="5" width="50.7109375" customWidth="1"/>
    <col min="6" max="6" width="48.7109375" bestFit="1" customWidth="1"/>
    <col min="7" max="7" width="6.5703125" bestFit="1" customWidth="1"/>
    <col min="8" max="8" width="4.42578125" customWidth="1"/>
  </cols>
  <sheetData>
    <row r="1" spans="1:21" ht="15" customHeight="1" x14ac:dyDescent="0.25">
      <c r="E1" s="19"/>
    </row>
    <row r="2" spans="1:21" ht="45" customHeight="1" x14ac:dyDescent="0.25">
      <c r="E2" s="19"/>
    </row>
    <row r="3" spans="1:21" ht="21.95" customHeight="1" x14ac:dyDescent="0.25">
      <c r="A3" s="6" t="s">
        <v>165</v>
      </c>
      <c r="B3" s="6" t="s">
        <v>174</v>
      </c>
      <c r="C3" s="6" t="s">
        <v>175</v>
      </c>
      <c r="D3" s="6" t="s">
        <v>176</v>
      </c>
      <c r="E3" s="20" t="s">
        <v>177</v>
      </c>
      <c r="F3" s="6" t="s">
        <v>5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53</v>
      </c>
      <c r="B4">
        <v>1</v>
      </c>
      <c r="C4" t="s">
        <v>57</v>
      </c>
      <c r="D4">
        <v>40</v>
      </c>
      <c r="E4" s="19" t="s">
        <v>58</v>
      </c>
      <c r="F4" t="s">
        <v>59</v>
      </c>
    </row>
    <row r="5" spans="1:21" ht="15" x14ac:dyDescent="0.25">
      <c r="A5" t="s">
        <v>53</v>
      </c>
      <c r="B5">
        <v>2</v>
      </c>
      <c r="C5" t="s">
        <v>60</v>
      </c>
      <c r="D5">
        <v>60</v>
      </c>
      <c r="E5" s="19" t="s">
        <v>61</v>
      </c>
      <c r="F5" t="s">
        <v>59</v>
      </c>
    </row>
    <row r="6" spans="1:21" ht="15" x14ac:dyDescent="0.25">
      <c r="A6" t="s">
        <v>53</v>
      </c>
      <c r="B6">
        <v>3</v>
      </c>
      <c r="C6" t="s">
        <v>42</v>
      </c>
      <c r="D6">
        <v>30</v>
      </c>
      <c r="E6" s="19" t="s">
        <v>62</v>
      </c>
      <c r="F6" t="s">
        <v>63</v>
      </c>
    </row>
    <row r="7" spans="1:21" ht="30" x14ac:dyDescent="0.25">
      <c r="A7" t="s">
        <v>53</v>
      </c>
      <c r="B7">
        <v>4</v>
      </c>
      <c r="C7" t="s">
        <v>43</v>
      </c>
      <c r="D7">
        <v>90</v>
      </c>
      <c r="E7" s="19" t="s">
        <v>64</v>
      </c>
      <c r="F7" t="s">
        <v>59</v>
      </c>
    </row>
    <row r="8" spans="1:21" ht="15" x14ac:dyDescent="0.25">
      <c r="A8" t="s">
        <v>53</v>
      </c>
      <c r="B8">
        <v>5</v>
      </c>
      <c r="C8" t="s">
        <v>65</v>
      </c>
      <c r="D8">
        <v>120</v>
      </c>
      <c r="E8" s="19" t="s">
        <v>66</v>
      </c>
      <c r="F8" t="s">
        <v>59</v>
      </c>
    </row>
    <row r="9" spans="1:21" ht="15" x14ac:dyDescent="0.25">
      <c r="A9" t="s">
        <v>53</v>
      </c>
      <c r="B9">
        <v>6</v>
      </c>
      <c r="C9" t="s">
        <v>67</v>
      </c>
      <c r="D9">
        <v>40</v>
      </c>
      <c r="E9" s="19" t="s">
        <v>68</v>
      </c>
      <c r="F9" t="s">
        <v>59</v>
      </c>
    </row>
    <row r="10" spans="1:21" ht="15" x14ac:dyDescent="0.25">
      <c r="A10" t="s">
        <v>53</v>
      </c>
      <c r="B10">
        <v>7</v>
      </c>
      <c r="C10" t="s">
        <v>69</v>
      </c>
      <c r="D10">
        <v>150</v>
      </c>
      <c r="E10" s="19" t="s">
        <v>70</v>
      </c>
      <c r="F10" t="s">
        <v>59</v>
      </c>
    </row>
    <row r="11" spans="1:21" ht="15" x14ac:dyDescent="0.25">
      <c r="A11" t="s">
        <v>53</v>
      </c>
      <c r="B11">
        <v>8</v>
      </c>
      <c r="C11" t="s">
        <v>71</v>
      </c>
      <c r="D11">
        <v>40</v>
      </c>
      <c r="E11" s="19" t="s">
        <v>72</v>
      </c>
      <c r="F11" t="s">
        <v>59</v>
      </c>
    </row>
    <row r="12" spans="1:21" ht="15" x14ac:dyDescent="0.25">
      <c r="A12" t="s">
        <v>53</v>
      </c>
      <c r="B12">
        <v>9</v>
      </c>
      <c r="C12" t="s">
        <v>73</v>
      </c>
      <c r="D12">
        <v>40</v>
      </c>
      <c r="E12" s="19" t="s">
        <v>47</v>
      </c>
      <c r="F12" t="s">
        <v>59</v>
      </c>
    </row>
    <row r="13" spans="1:21" ht="15" x14ac:dyDescent="0.25">
      <c r="A13" t="s">
        <v>53</v>
      </c>
      <c r="B13">
        <v>10</v>
      </c>
      <c r="C13" t="s">
        <v>74</v>
      </c>
      <c r="D13">
        <v>30</v>
      </c>
      <c r="E13" s="19" t="s">
        <v>75</v>
      </c>
      <c r="F13" t="s">
        <v>59</v>
      </c>
    </row>
    <row r="14" spans="1:21" ht="15" x14ac:dyDescent="0.25">
      <c r="A14" t="s">
        <v>53</v>
      </c>
      <c r="B14">
        <v>11</v>
      </c>
      <c r="C14" t="s">
        <v>76</v>
      </c>
      <c r="D14">
        <v>180</v>
      </c>
      <c r="E14" s="19" t="s">
        <v>77</v>
      </c>
      <c r="F14" t="s">
        <v>59</v>
      </c>
    </row>
    <row r="15" spans="1:21" ht="15" x14ac:dyDescent="0.25">
      <c r="A15" t="s">
        <v>53</v>
      </c>
      <c r="B15">
        <v>12</v>
      </c>
      <c r="C15" t="s">
        <v>78</v>
      </c>
      <c r="D15">
        <v>35</v>
      </c>
      <c r="E15" s="19" t="s">
        <v>79</v>
      </c>
      <c r="F15" t="s">
        <v>59</v>
      </c>
    </row>
    <row r="16" spans="1:21" ht="15" x14ac:dyDescent="0.25">
      <c r="E16" s="19"/>
    </row>
    <row r="17" spans="1:7" ht="15" x14ac:dyDescent="0.25">
      <c r="A17" t="s">
        <v>403</v>
      </c>
      <c r="B17">
        <v>1</v>
      </c>
      <c r="C17" t="s">
        <v>127</v>
      </c>
      <c r="D17">
        <v>65</v>
      </c>
      <c r="E17" s="21">
        <v>46268</v>
      </c>
      <c r="F17" t="s">
        <v>128</v>
      </c>
      <c r="G17" t="s">
        <v>59</v>
      </c>
    </row>
    <row r="18" spans="1:7" ht="15" x14ac:dyDescent="0.25">
      <c r="A18" t="s">
        <v>403</v>
      </c>
      <c r="B18">
        <v>2</v>
      </c>
      <c r="C18" t="s">
        <v>129</v>
      </c>
      <c r="D18">
        <v>40</v>
      </c>
      <c r="E18" s="21">
        <v>46268</v>
      </c>
      <c r="F18" t="s">
        <v>130</v>
      </c>
      <c r="G18" t="s">
        <v>59</v>
      </c>
    </row>
    <row r="19" spans="1:7" ht="15" x14ac:dyDescent="0.25">
      <c r="A19" t="s">
        <v>403</v>
      </c>
      <c r="B19">
        <v>3</v>
      </c>
      <c r="C19" t="s">
        <v>131</v>
      </c>
      <c r="D19">
        <v>45</v>
      </c>
      <c r="E19" s="21">
        <v>46268</v>
      </c>
      <c r="F19" t="s">
        <v>132</v>
      </c>
      <c r="G19" t="s">
        <v>59</v>
      </c>
    </row>
    <row r="20" spans="1:7" ht="15" x14ac:dyDescent="0.25">
      <c r="A20" t="s">
        <v>403</v>
      </c>
      <c r="B20">
        <v>4</v>
      </c>
      <c r="C20" t="s">
        <v>133</v>
      </c>
      <c r="D20">
        <v>30</v>
      </c>
      <c r="E20" s="21">
        <v>46268</v>
      </c>
      <c r="F20" t="s">
        <v>134</v>
      </c>
      <c r="G20" t="s">
        <v>59</v>
      </c>
    </row>
    <row r="21" spans="1:7" ht="15" x14ac:dyDescent="0.25">
      <c r="A21" t="s">
        <v>403</v>
      </c>
      <c r="B21">
        <v>5</v>
      </c>
      <c r="C21" t="s">
        <v>135</v>
      </c>
      <c r="D21">
        <v>150</v>
      </c>
      <c r="E21" s="21">
        <v>46268</v>
      </c>
      <c r="F21" t="s">
        <v>136</v>
      </c>
      <c r="G21" t="s">
        <v>59</v>
      </c>
    </row>
    <row r="22" spans="1:7" ht="15" x14ac:dyDescent="0.25">
      <c r="A22" t="s">
        <v>403</v>
      </c>
      <c r="B22">
        <v>6</v>
      </c>
      <c r="C22" t="s">
        <v>137</v>
      </c>
      <c r="D22">
        <v>80</v>
      </c>
      <c r="E22" s="21">
        <v>46268</v>
      </c>
      <c r="F22" t="s">
        <v>138</v>
      </c>
      <c r="G22" t="s">
        <v>59</v>
      </c>
    </row>
    <row r="23" spans="1:7" ht="15" x14ac:dyDescent="0.25">
      <c r="A23" t="s">
        <v>403</v>
      </c>
      <c r="B23">
        <v>7</v>
      </c>
      <c r="C23" t="s">
        <v>139</v>
      </c>
      <c r="D23">
        <v>60</v>
      </c>
      <c r="E23" s="21">
        <v>46268</v>
      </c>
      <c r="F23" t="s">
        <v>140</v>
      </c>
      <c r="G23" t="s">
        <v>59</v>
      </c>
    </row>
    <row r="24" spans="1:7" ht="15" x14ac:dyDescent="0.25">
      <c r="A24" t="s">
        <v>403</v>
      </c>
      <c r="B24">
        <v>8</v>
      </c>
      <c r="C24" t="s">
        <v>141</v>
      </c>
      <c r="D24">
        <v>80</v>
      </c>
      <c r="E24" s="21">
        <v>46268</v>
      </c>
      <c r="F24" t="s">
        <v>142</v>
      </c>
      <c r="G24" t="s">
        <v>59</v>
      </c>
    </row>
    <row r="25" spans="1:7" ht="15" x14ac:dyDescent="0.25">
      <c r="A25" t="s">
        <v>403</v>
      </c>
      <c r="B25">
        <v>9</v>
      </c>
      <c r="C25" t="s">
        <v>143</v>
      </c>
      <c r="D25">
        <v>40</v>
      </c>
      <c r="E25" s="21">
        <v>46268</v>
      </c>
      <c r="F25" t="s">
        <v>144</v>
      </c>
      <c r="G25" t="s">
        <v>59</v>
      </c>
    </row>
    <row r="26" spans="1:7" ht="15" x14ac:dyDescent="0.25">
      <c r="A26" t="s">
        <v>403</v>
      </c>
      <c r="B26">
        <v>10</v>
      </c>
      <c r="C26" t="s">
        <v>145</v>
      </c>
      <c r="D26">
        <v>60</v>
      </c>
      <c r="E26" s="21">
        <v>46268</v>
      </c>
      <c r="F26" t="s">
        <v>146</v>
      </c>
      <c r="G26" t="s">
        <v>59</v>
      </c>
    </row>
    <row r="27" spans="1:7" ht="15" x14ac:dyDescent="0.25">
      <c r="A27" t="s">
        <v>403</v>
      </c>
      <c r="B27">
        <v>11</v>
      </c>
      <c r="C27" t="s">
        <v>147</v>
      </c>
      <c r="D27">
        <v>60</v>
      </c>
      <c r="E27" s="21">
        <v>46268</v>
      </c>
      <c r="F27" t="s">
        <v>148</v>
      </c>
      <c r="G27" t="s">
        <v>59</v>
      </c>
    </row>
    <row r="28" spans="1:7" ht="15" x14ac:dyDescent="0.25">
      <c r="A28" t="s">
        <v>403</v>
      </c>
      <c r="B28">
        <v>12</v>
      </c>
      <c r="C28" t="s">
        <v>149</v>
      </c>
      <c r="D28">
        <v>40</v>
      </c>
      <c r="E28" s="21">
        <v>46090</v>
      </c>
      <c r="F28" t="s">
        <v>149</v>
      </c>
      <c r="G28" t="s">
        <v>59</v>
      </c>
    </row>
    <row r="29" spans="1:7" ht="15" x14ac:dyDescent="0.25">
      <c r="A29" t="s">
        <v>403</v>
      </c>
      <c r="B29">
        <v>13</v>
      </c>
      <c r="C29" t="s">
        <v>213</v>
      </c>
      <c r="D29">
        <v>30</v>
      </c>
      <c r="E29" s="21">
        <v>46298</v>
      </c>
      <c r="G29" t="s">
        <v>59</v>
      </c>
    </row>
    <row r="30" spans="1:7" ht="15" x14ac:dyDescent="0.25">
      <c r="E30" s="21"/>
    </row>
    <row r="31" spans="1:7" ht="15" x14ac:dyDescent="0.25">
      <c r="A31" t="s">
        <v>217</v>
      </c>
      <c r="B31">
        <v>1</v>
      </c>
      <c r="C31" t="s">
        <v>57</v>
      </c>
      <c r="D31">
        <v>40</v>
      </c>
      <c r="E31" s="21">
        <v>46329</v>
      </c>
      <c r="F31" t="s">
        <v>58</v>
      </c>
      <c r="G31" t="s">
        <v>59</v>
      </c>
    </row>
    <row r="32" spans="1:7" ht="15" x14ac:dyDescent="0.25">
      <c r="A32" t="s">
        <v>217</v>
      </c>
      <c r="B32">
        <v>2</v>
      </c>
      <c r="C32" t="s">
        <v>220</v>
      </c>
      <c r="D32">
        <v>40</v>
      </c>
      <c r="E32" s="21">
        <v>46329</v>
      </c>
      <c r="F32" t="s">
        <v>220</v>
      </c>
      <c r="G32" t="s">
        <v>59</v>
      </c>
    </row>
    <row r="33" spans="1:7" ht="15" x14ac:dyDescent="0.25">
      <c r="A33" t="s">
        <v>217</v>
      </c>
      <c r="B33">
        <v>3</v>
      </c>
      <c r="C33" t="s">
        <v>221</v>
      </c>
      <c r="D33">
        <v>30</v>
      </c>
      <c r="E33" s="21">
        <v>46329</v>
      </c>
      <c r="F33" t="s">
        <v>213</v>
      </c>
      <c r="G33" t="s">
        <v>59</v>
      </c>
    </row>
    <row r="34" spans="1:7" ht="15" x14ac:dyDescent="0.25">
      <c r="A34" t="s">
        <v>217</v>
      </c>
      <c r="B34">
        <v>4</v>
      </c>
      <c r="C34" t="s">
        <v>222</v>
      </c>
      <c r="D34">
        <v>30</v>
      </c>
      <c r="E34" s="21">
        <v>46329</v>
      </c>
      <c r="F34" t="s">
        <v>134</v>
      </c>
      <c r="G34" t="s">
        <v>59</v>
      </c>
    </row>
    <row r="35" spans="1:7" ht="15" x14ac:dyDescent="0.25">
      <c r="A35" t="s">
        <v>217</v>
      </c>
      <c r="B35">
        <v>5</v>
      </c>
      <c r="C35" t="s">
        <v>132</v>
      </c>
      <c r="D35">
        <v>40</v>
      </c>
      <c r="E35" s="21">
        <v>46329</v>
      </c>
      <c r="F35" t="s">
        <v>132</v>
      </c>
      <c r="G35" t="s">
        <v>59</v>
      </c>
    </row>
    <row r="36" spans="1:7" ht="15" x14ac:dyDescent="0.25">
      <c r="A36" t="s">
        <v>217</v>
      </c>
      <c r="B36">
        <v>6</v>
      </c>
      <c r="C36" t="s">
        <v>223</v>
      </c>
      <c r="D36">
        <v>90</v>
      </c>
      <c r="E36" s="21">
        <v>46329</v>
      </c>
      <c r="F36" t="s">
        <v>224</v>
      </c>
      <c r="G36" t="s">
        <v>59</v>
      </c>
    </row>
    <row r="37" spans="1:7" ht="15" x14ac:dyDescent="0.25">
      <c r="A37" t="s">
        <v>217</v>
      </c>
      <c r="B37">
        <v>7</v>
      </c>
      <c r="C37" t="s">
        <v>225</v>
      </c>
      <c r="D37">
        <v>120</v>
      </c>
      <c r="E37" s="21">
        <v>46329</v>
      </c>
      <c r="F37" t="s">
        <v>65</v>
      </c>
      <c r="G37" t="s">
        <v>59</v>
      </c>
    </row>
    <row r="38" spans="1:7" ht="15" x14ac:dyDescent="0.25">
      <c r="A38" t="s">
        <v>217</v>
      </c>
      <c r="B38">
        <v>8</v>
      </c>
      <c r="C38" t="s">
        <v>226</v>
      </c>
      <c r="D38">
        <v>90</v>
      </c>
      <c r="E38" s="21">
        <v>46329</v>
      </c>
      <c r="F38" t="s">
        <v>227</v>
      </c>
      <c r="G38" t="s">
        <v>59</v>
      </c>
    </row>
    <row r="39" spans="1:7" ht="15" x14ac:dyDescent="0.25">
      <c r="A39" t="s">
        <v>217</v>
      </c>
      <c r="B39">
        <v>9</v>
      </c>
      <c r="C39" t="s">
        <v>228</v>
      </c>
      <c r="D39">
        <v>45</v>
      </c>
      <c r="E39" s="21">
        <v>46329</v>
      </c>
      <c r="F39" t="s">
        <v>229</v>
      </c>
      <c r="G39" t="s">
        <v>59</v>
      </c>
    </row>
    <row r="40" spans="1:7" ht="15" x14ac:dyDescent="0.25">
      <c r="A40" t="s">
        <v>217</v>
      </c>
      <c r="B40">
        <v>10</v>
      </c>
      <c r="C40" t="s">
        <v>230</v>
      </c>
      <c r="D40">
        <v>45</v>
      </c>
      <c r="E40" s="21">
        <v>46329</v>
      </c>
      <c r="F40" t="s">
        <v>231</v>
      </c>
      <c r="G40" t="s">
        <v>59</v>
      </c>
    </row>
    <row r="41" spans="1:7" ht="15" x14ac:dyDescent="0.25">
      <c r="A41" t="s">
        <v>217</v>
      </c>
      <c r="B41">
        <v>11</v>
      </c>
      <c r="C41" t="s">
        <v>232</v>
      </c>
      <c r="D41">
        <v>180</v>
      </c>
      <c r="E41" s="21">
        <v>46329</v>
      </c>
      <c r="F41" t="s">
        <v>232</v>
      </c>
      <c r="G41" t="s">
        <v>59</v>
      </c>
    </row>
    <row r="42" spans="1:7" ht="15" x14ac:dyDescent="0.25">
      <c r="A42" t="s">
        <v>217</v>
      </c>
      <c r="B42">
        <v>12</v>
      </c>
      <c r="C42" t="s">
        <v>233</v>
      </c>
      <c r="D42">
        <v>30</v>
      </c>
      <c r="E42" s="21">
        <v>46329</v>
      </c>
      <c r="F42" t="s">
        <v>78</v>
      </c>
      <c r="G42" t="s">
        <v>59</v>
      </c>
    </row>
    <row r="43" spans="1:7" ht="15" x14ac:dyDescent="0.25">
      <c r="E43" s="21"/>
    </row>
    <row r="44" spans="1:7" ht="15" x14ac:dyDescent="0.25">
      <c r="A44" t="s">
        <v>404</v>
      </c>
      <c r="B44">
        <v>1</v>
      </c>
      <c r="C44" t="s">
        <v>57</v>
      </c>
      <c r="D44">
        <v>45</v>
      </c>
      <c r="E44" s="19" t="s">
        <v>265</v>
      </c>
      <c r="F44" t="s">
        <v>58</v>
      </c>
      <c r="G44" t="s">
        <v>59</v>
      </c>
    </row>
    <row r="45" spans="1:7" ht="15" x14ac:dyDescent="0.25">
      <c r="A45" t="s">
        <v>404</v>
      </c>
      <c r="B45">
        <v>2</v>
      </c>
      <c r="C45" t="s">
        <v>60</v>
      </c>
      <c r="D45">
        <v>65</v>
      </c>
      <c r="E45" s="19" t="s">
        <v>265</v>
      </c>
      <c r="F45" t="s">
        <v>60</v>
      </c>
      <c r="G45" t="s">
        <v>59</v>
      </c>
    </row>
    <row r="46" spans="1:7" ht="15" x14ac:dyDescent="0.25">
      <c r="A46" t="s">
        <v>404</v>
      </c>
      <c r="B46">
        <v>3</v>
      </c>
      <c r="C46" t="s">
        <v>132</v>
      </c>
      <c r="D46">
        <v>45</v>
      </c>
      <c r="E46" s="19" t="s">
        <v>265</v>
      </c>
      <c r="F46" t="s">
        <v>42</v>
      </c>
      <c r="G46" t="s">
        <v>59</v>
      </c>
    </row>
    <row r="47" spans="1:7" ht="15" x14ac:dyDescent="0.25">
      <c r="A47" t="s">
        <v>404</v>
      </c>
      <c r="B47">
        <v>4</v>
      </c>
      <c r="C47" t="s">
        <v>67</v>
      </c>
      <c r="D47">
        <v>40</v>
      </c>
      <c r="E47" s="19" t="s">
        <v>265</v>
      </c>
      <c r="F47" t="s">
        <v>67</v>
      </c>
      <c r="G47" t="s">
        <v>59</v>
      </c>
    </row>
    <row r="48" spans="1:7" ht="15" x14ac:dyDescent="0.25">
      <c r="A48" t="s">
        <v>404</v>
      </c>
      <c r="B48">
        <v>5</v>
      </c>
      <c r="C48" t="s">
        <v>266</v>
      </c>
      <c r="D48">
        <v>150</v>
      </c>
      <c r="E48" s="19" t="s">
        <v>265</v>
      </c>
      <c r="F48" t="s">
        <v>266</v>
      </c>
      <c r="G48" t="s">
        <v>59</v>
      </c>
    </row>
    <row r="49" spans="1:7" ht="15" x14ac:dyDescent="0.25">
      <c r="A49" t="s">
        <v>404</v>
      </c>
      <c r="B49">
        <v>6</v>
      </c>
      <c r="C49" t="s">
        <v>257</v>
      </c>
      <c r="D49">
        <v>90</v>
      </c>
      <c r="E49" s="19" t="s">
        <v>265</v>
      </c>
      <c r="F49" t="s">
        <v>43</v>
      </c>
      <c r="G49" t="s">
        <v>59</v>
      </c>
    </row>
    <row r="50" spans="1:7" ht="15" x14ac:dyDescent="0.25">
      <c r="A50" t="s">
        <v>404</v>
      </c>
      <c r="B50">
        <v>7</v>
      </c>
      <c r="C50" t="s">
        <v>267</v>
      </c>
      <c r="D50">
        <v>120</v>
      </c>
      <c r="E50" s="19" t="s">
        <v>265</v>
      </c>
      <c r="F50" t="s">
        <v>267</v>
      </c>
      <c r="G50" t="s">
        <v>59</v>
      </c>
    </row>
    <row r="51" spans="1:7" ht="15" x14ac:dyDescent="0.25">
      <c r="A51" t="s">
        <v>404</v>
      </c>
      <c r="B51">
        <v>8</v>
      </c>
      <c r="C51" t="s">
        <v>268</v>
      </c>
      <c r="D51">
        <v>45</v>
      </c>
      <c r="E51" s="19" t="s">
        <v>265</v>
      </c>
      <c r="F51" t="s">
        <v>269</v>
      </c>
      <c r="G51" t="s">
        <v>59</v>
      </c>
    </row>
    <row r="52" spans="1:7" ht="15" x14ac:dyDescent="0.25">
      <c r="A52" t="s">
        <v>404</v>
      </c>
      <c r="B52">
        <v>9</v>
      </c>
      <c r="C52" t="s">
        <v>270</v>
      </c>
      <c r="D52">
        <v>35</v>
      </c>
      <c r="E52" s="19" t="s">
        <v>265</v>
      </c>
      <c r="F52" t="s">
        <v>270</v>
      </c>
      <c r="G52" t="s">
        <v>59</v>
      </c>
    </row>
    <row r="53" spans="1:7" ht="15" x14ac:dyDescent="0.25">
      <c r="A53" t="s">
        <v>404</v>
      </c>
      <c r="B53">
        <v>10</v>
      </c>
      <c r="C53" t="s">
        <v>271</v>
      </c>
      <c r="D53">
        <v>180</v>
      </c>
      <c r="E53" s="19" t="s">
        <v>265</v>
      </c>
      <c r="F53" t="s">
        <v>232</v>
      </c>
      <c r="G53" t="s">
        <v>59</v>
      </c>
    </row>
    <row r="54" spans="1:7" ht="15" x14ac:dyDescent="0.25">
      <c r="E54" s="19"/>
    </row>
    <row r="55" spans="1:7" ht="15" x14ac:dyDescent="0.25">
      <c r="A55" t="s">
        <v>326</v>
      </c>
      <c r="B55">
        <v>1</v>
      </c>
      <c r="C55" t="s">
        <v>280</v>
      </c>
      <c r="D55">
        <v>45</v>
      </c>
      <c r="E55" s="19" t="s">
        <v>265</v>
      </c>
      <c r="F55" t="s">
        <v>281</v>
      </c>
      <c r="G55" t="s">
        <v>59</v>
      </c>
    </row>
    <row r="56" spans="1:7" ht="15" x14ac:dyDescent="0.25">
      <c r="A56" t="s">
        <v>326</v>
      </c>
      <c r="B56">
        <v>2</v>
      </c>
      <c r="C56" t="s">
        <v>282</v>
      </c>
      <c r="D56">
        <v>45</v>
      </c>
      <c r="E56" s="19" t="s">
        <v>265</v>
      </c>
      <c r="F56" t="s">
        <v>283</v>
      </c>
      <c r="G56" t="s">
        <v>59</v>
      </c>
    </row>
    <row r="57" spans="1:7" ht="15" x14ac:dyDescent="0.25">
      <c r="A57" t="s">
        <v>326</v>
      </c>
      <c r="B57">
        <v>3</v>
      </c>
      <c r="C57" t="s">
        <v>284</v>
      </c>
      <c r="D57">
        <v>30</v>
      </c>
      <c r="E57" s="19" t="s">
        <v>265</v>
      </c>
      <c r="F57" t="s">
        <v>285</v>
      </c>
      <c r="G57" t="s">
        <v>59</v>
      </c>
    </row>
    <row r="58" spans="1:7" ht="15" x14ac:dyDescent="0.25">
      <c r="A58" t="s">
        <v>326</v>
      </c>
      <c r="B58">
        <v>4</v>
      </c>
      <c r="C58" t="s">
        <v>286</v>
      </c>
      <c r="D58">
        <v>30</v>
      </c>
      <c r="E58" s="19" t="s">
        <v>265</v>
      </c>
      <c r="F58" t="s">
        <v>287</v>
      </c>
      <c r="G58" t="s">
        <v>59</v>
      </c>
    </row>
    <row r="59" spans="1:7" ht="15" x14ac:dyDescent="0.25">
      <c r="A59" t="s">
        <v>326</v>
      </c>
      <c r="B59">
        <v>5</v>
      </c>
      <c r="C59" t="s">
        <v>67</v>
      </c>
      <c r="D59">
        <v>30</v>
      </c>
      <c r="E59" s="19" t="s">
        <v>265</v>
      </c>
      <c r="F59" t="s">
        <v>67</v>
      </c>
      <c r="G59" t="s">
        <v>59</v>
      </c>
    </row>
    <row r="60" spans="1:7" ht="15" x14ac:dyDescent="0.25">
      <c r="A60" t="s">
        <v>326</v>
      </c>
      <c r="B60">
        <v>6</v>
      </c>
      <c r="C60" t="s">
        <v>288</v>
      </c>
      <c r="D60">
        <v>90</v>
      </c>
      <c r="E60" s="19" t="s">
        <v>265</v>
      </c>
      <c r="F60" t="s">
        <v>289</v>
      </c>
      <c r="G60" t="s">
        <v>59</v>
      </c>
    </row>
    <row r="61" spans="1:7" ht="15" x14ac:dyDescent="0.25">
      <c r="A61" t="s">
        <v>326</v>
      </c>
      <c r="B61">
        <v>7</v>
      </c>
      <c r="C61" t="s">
        <v>290</v>
      </c>
      <c r="D61">
        <v>120</v>
      </c>
      <c r="E61" s="19" t="s">
        <v>265</v>
      </c>
      <c r="F61" t="s">
        <v>138</v>
      </c>
      <c r="G61" t="s">
        <v>59</v>
      </c>
    </row>
    <row r="62" spans="1:7" ht="15" x14ac:dyDescent="0.25">
      <c r="A62" t="s">
        <v>326</v>
      </c>
      <c r="B62">
        <v>8</v>
      </c>
      <c r="C62" t="s">
        <v>291</v>
      </c>
      <c r="D62">
        <v>90</v>
      </c>
      <c r="E62" s="19" t="s">
        <v>265</v>
      </c>
      <c r="F62" t="s">
        <v>292</v>
      </c>
      <c r="G62" t="s">
        <v>59</v>
      </c>
    </row>
    <row r="63" spans="1:7" ht="15" x14ac:dyDescent="0.25">
      <c r="A63" t="s">
        <v>326</v>
      </c>
      <c r="B63">
        <v>9</v>
      </c>
      <c r="C63" t="s">
        <v>293</v>
      </c>
      <c r="D63">
        <v>180</v>
      </c>
      <c r="E63" s="19" t="s">
        <v>265</v>
      </c>
      <c r="F63" t="s">
        <v>294</v>
      </c>
      <c r="G63" t="s">
        <v>59</v>
      </c>
    </row>
    <row r="64" spans="1:7" ht="15" x14ac:dyDescent="0.25">
      <c r="A64" t="s">
        <v>326</v>
      </c>
      <c r="B64">
        <v>10</v>
      </c>
      <c r="C64" t="s">
        <v>295</v>
      </c>
      <c r="D64">
        <v>30</v>
      </c>
      <c r="E64" s="19" t="s">
        <v>265</v>
      </c>
      <c r="F64" t="s">
        <v>296</v>
      </c>
      <c r="G64" t="s">
        <v>59</v>
      </c>
    </row>
    <row r="65" spans="1:7" ht="15" x14ac:dyDescent="0.25">
      <c r="A65" t="s">
        <v>326</v>
      </c>
      <c r="B65">
        <v>11</v>
      </c>
      <c r="C65" t="s">
        <v>144</v>
      </c>
      <c r="D65">
        <v>40</v>
      </c>
      <c r="E65" s="19" t="s">
        <v>265</v>
      </c>
      <c r="F65" t="s">
        <v>144</v>
      </c>
      <c r="G65" t="s">
        <v>59</v>
      </c>
    </row>
    <row r="66" spans="1:7" ht="15" x14ac:dyDescent="0.25">
      <c r="A66" t="s">
        <v>298</v>
      </c>
      <c r="B66">
        <v>1</v>
      </c>
      <c r="C66" t="s">
        <v>57</v>
      </c>
      <c r="D66">
        <v>45</v>
      </c>
      <c r="E66" s="19" t="s">
        <v>303</v>
      </c>
      <c r="F66" t="s">
        <v>58</v>
      </c>
      <c r="G66" t="s">
        <v>59</v>
      </c>
    </row>
    <row r="67" spans="1:7" ht="15" x14ac:dyDescent="0.25">
      <c r="A67" t="s">
        <v>298</v>
      </c>
      <c r="B67">
        <v>2</v>
      </c>
      <c r="C67" t="s">
        <v>311</v>
      </c>
      <c r="D67">
        <v>60</v>
      </c>
      <c r="E67" s="19" t="s">
        <v>303</v>
      </c>
      <c r="F67" t="s">
        <v>311</v>
      </c>
      <c r="G67" t="s">
        <v>59</v>
      </c>
    </row>
    <row r="68" spans="1:7" ht="15" x14ac:dyDescent="0.25">
      <c r="A68" t="s">
        <v>298</v>
      </c>
      <c r="B68">
        <v>3</v>
      </c>
      <c r="C68" t="s">
        <v>312</v>
      </c>
      <c r="D68">
        <v>45</v>
      </c>
      <c r="E68" s="19" t="s">
        <v>303</v>
      </c>
      <c r="F68" t="s">
        <v>132</v>
      </c>
      <c r="G68" t="s">
        <v>59</v>
      </c>
    </row>
    <row r="69" spans="1:7" ht="15" x14ac:dyDescent="0.25">
      <c r="A69" t="s">
        <v>298</v>
      </c>
      <c r="B69">
        <v>4</v>
      </c>
      <c r="C69" t="s">
        <v>313</v>
      </c>
      <c r="D69">
        <v>90</v>
      </c>
      <c r="E69" s="19" t="s">
        <v>303</v>
      </c>
      <c r="F69" t="s">
        <v>314</v>
      </c>
      <c r="G69" t="s">
        <v>59</v>
      </c>
    </row>
    <row r="70" spans="1:7" ht="15" x14ac:dyDescent="0.25">
      <c r="A70" t="s">
        <v>298</v>
      </c>
      <c r="B70">
        <v>5</v>
      </c>
      <c r="C70" t="s">
        <v>315</v>
      </c>
      <c r="D70">
        <v>40</v>
      </c>
      <c r="E70" s="19" t="s">
        <v>303</v>
      </c>
      <c r="F70" t="s">
        <v>315</v>
      </c>
      <c r="G70" t="s">
        <v>59</v>
      </c>
    </row>
    <row r="71" spans="1:7" ht="15" x14ac:dyDescent="0.25">
      <c r="A71" t="s">
        <v>298</v>
      </c>
      <c r="B71">
        <v>6</v>
      </c>
      <c r="C71" t="s">
        <v>316</v>
      </c>
      <c r="D71">
        <v>150</v>
      </c>
      <c r="E71" s="19" t="s">
        <v>303</v>
      </c>
      <c r="F71" t="s">
        <v>316</v>
      </c>
      <c r="G71" t="s">
        <v>59</v>
      </c>
    </row>
    <row r="72" spans="1:7" ht="15" x14ac:dyDescent="0.25">
      <c r="A72" t="s">
        <v>298</v>
      </c>
      <c r="B72">
        <v>7</v>
      </c>
      <c r="C72" t="s">
        <v>317</v>
      </c>
      <c r="D72">
        <v>40</v>
      </c>
      <c r="E72" s="19" t="s">
        <v>303</v>
      </c>
      <c r="F72" t="s">
        <v>318</v>
      </c>
      <c r="G72" t="s">
        <v>59</v>
      </c>
    </row>
    <row r="73" spans="1:7" ht="15" x14ac:dyDescent="0.25">
      <c r="A73" t="s">
        <v>298</v>
      </c>
      <c r="B73">
        <v>8</v>
      </c>
      <c r="C73" t="s">
        <v>319</v>
      </c>
      <c r="D73">
        <v>40</v>
      </c>
      <c r="E73" s="19" t="s">
        <v>303</v>
      </c>
      <c r="F73" t="s">
        <v>319</v>
      </c>
      <c r="G73" t="s">
        <v>59</v>
      </c>
    </row>
    <row r="74" spans="1:7" ht="15" x14ac:dyDescent="0.25">
      <c r="A74" t="s">
        <v>298</v>
      </c>
      <c r="B74">
        <v>9</v>
      </c>
      <c r="C74" t="s">
        <v>320</v>
      </c>
      <c r="D74">
        <v>30</v>
      </c>
      <c r="E74" s="19" t="s">
        <v>303</v>
      </c>
      <c r="F74" t="s">
        <v>270</v>
      </c>
      <c r="G74" t="s">
        <v>59</v>
      </c>
    </row>
    <row r="75" spans="1:7" ht="15" x14ac:dyDescent="0.25">
      <c r="A75" t="s">
        <v>298</v>
      </c>
      <c r="B75">
        <v>10</v>
      </c>
      <c r="C75" t="s">
        <v>267</v>
      </c>
      <c r="D75">
        <v>120</v>
      </c>
      <c r="E75" s="19" t="s">
        <v>303</v>
      </c>
      <c r="F75" t="s">
        <v>321</v>
      </c>
      <c r="G75" t="s">
        <v>59</v>
      </c>
    </row>
    <row r="76" spans="1:7" ht="15" x14ac:dyDescent="0.25">
      <c r="A76" t="s">
        <v>298</v>
      </c>
      <c r="B76">
        <v>11</v>
      </c>
      <c r="C76" t="s">
        <v>322</v>
      </c>
      <c r="D76">
        <v>180</v>
      </c>
      <c r="E76" s="19" t="s">
        <v>303</v>
      </c>
      <c r="F76" t="s">
        <v>323</v>
      </c>
      <c r="G76" t="s">
        <v>59</v>
      </c>
    </row>
    <row r="77" spans="1:7" ht="15" x14ac:dyDescent="0.25">
      <c r="A77" t="s">
        <v>298</v>
      </c>
      <c r="B77">
        <v>12</v>
      </c>
      <c r="C77" t="s">
        <v>324</v>
      </c>
      <c r="D77">
        <v>40</v>
      </c>
      <c r="E77" s="19" t="s">
        <v>303</v>
      </c>
      <c r="F77" t="s">
        <v>325</v>
      </c>
      <c r="G77" t="s">
        <v>59</v>
      </c>
    </row>
    <row r="78" spans="1:7" ht="15" x14ac:dyDescent="0.25">
      <c r="A78" t="s">
        <v>298</v>
      </c>
      <c r="B78">
        <v>13</v>
      </c>
      <c r="C78" t="s">
        <v>327</v>
      </c>
      <c r="D78">
        <v>40</v>
      </c>
      <c r="E78" s="21">
        <v>46146</v>
      </c>
      <c r="F78" t="s">
        <v>328</v>
      </c>
      <c r="G78" t="s">
        <v>59</v>
      </c>
    </row>
    <row r="79" spans="1:7" ht="15" x14ac:dyDescent="0.25">
      <c r="A79" t="s">
        <v>329</v>
      </c>
      <c r="B79">
        <v>1</v>
      </c>
      <c r="C79" t="s">
        <v>312</v>
      </c>
      <c r="D79">
        <v>40</v>
      </c>
      <c r="E79" s="21">
        <v>46207</v>
      </c>
      <c r="F79" t="s">
        <v>132</v>
      </c>
      <c r="G79" t="s">
        <v>59</v>
      </c>
    </row>
    <row r="80" spans="1:7" ht="15" x14ac:dyDescent="0.25">
      <c r="A80" t="s">
        <v>329</v>
      </c>
      <c r="B80">
        <v>2</v>
      </c>
      <c r="C80" t="s">
        <v>314</v>
      </c>
      <c r="D80">
        <v>90</v>
      </c>
      <c r="E80" s="21">
        <v>46207</v>
      </c>
      <c r="F80" t="s">
        <v>257</v>
      </c>
      <c r="G80" t="s">
        <v>59</v>
      </c>
    </row>
    <row r="81" spans="1:7" ht="15" x14ac:dyDescent="0.25">
      <c r="A81" t="s">
        <v>329</v>
      </c>
      <c r="B81">
        <v>3</v>
      </c>
      <c r="C81" t="s">
        <v>336</v>
      </c>
      <c r="D81">
        <v>100</v>
      </c>
      <c r="E81" s="21">
        <v>46207</v>
      </c>
      <c r="F81" t="s">
        <v>337</v>
      </c>
      <c r="G81" t="s">
        <v>59</v>
      </c>
    </row>
    <row r="82" spans="1:7" ht="15" x14ac:dyDescent="0.25">
      <c r="A82" t="s">
        <v>329</v>
      </c>
      <c r="B82">
        <v>4</v>
      </c>
      <c r="C82" t="s">
        <v>338</v>
      </c>
      <c r="D82">
        <v>60</v>
      </c>
      <c r="E82" s="21">
        <v>46207</v>
      </c>
      <c r="F82" t="s">
        <v>339</v>
      </c>
      <c r="G82" t="s">
        <v>59</v>
      </c>
    </row>
    <row r="83" spans="1:7" ht="15" x14ac:dyDescent="0.25">
      <c r="A83" t="s">
        <v>329</v>
      </c>
      <c r="B83">
        <v>5</v>
      </c>
      <c r="C83" t="s">
        <v>340</v>
      </c>
      <c r="D83">
        <v>40</v>
      </c>
      <c r="E83" s="21">
        <v>46207</v>
      </c>
      <c r="F83" t="s">
        <v>341</v>
      </c>
      <c r="G83" t="s">
        <v>59</v>
      </c>
    </row>
    <row r="84" spans="1:7" ht="15" x14ac:dyDescent="0.25">
      <c r="A84" t="s">
        <v>329</v>
      </c>
      <c r="B84">
        <v>6</v>
      </c>
      <c r="C84" t="s">
        <v>342</v>
      </c>
      <c r="D84">
        <v>65</v>
      </c>
      <c r="E84" s="21">
        <v>46207</v>
      </c>
      <c r="F84" t="s">
        <v>343</v>
      </c>
      <c r="G84" t="s">
        <v>59</v>
      </c>
    </row>
    <row r="85" spans="1:7" ht="15" x14ac:dyDescent="0.25">
      <c r="A85" t="s">
        <v>329</v>
      </c>
      <c r="B85">
        <v>7</v>
      </c>
      <c r="C85" t="s">
        <v>228</v>
      </c>
      <c r="D85">
        <v>60</v>
      </c>
      <c r="E85" s="21">
        <v>46207</v>
      </c>
      <c r="F85" t="s">
        <v>344</v>
      </c>
      <c r="G85" t="s">
        <v>59</v>
      </c>
    </row>
    <row r="86" spans="1:7" ht="15" x14ac:dyDescent="0.25">
      <c r="A86" t="s">
        <v>329</v>
      </c>
      <c r="B86">
        <v>8</v>
      </c>
      <c r="C86" t="s">
        <v>345</v>
      </c>
      <c r="D86">
        <v>45</v>
      </c>
      <c r="E86" s="21">
        <v>46207</v>
      </c>
      <c r="F86" t="s">
        <v>345</v>
      </c>
      <c r="G86" t="s">
        <v>59</v>
      </c>
    </row>
    <row r="87" spans="1:7" ht="15" x14ac:dyDescent="0.25">
      <c r="A87" t="s">
        <v>329</v>
      </c>
      <c r="B87">
        <v>9</v>
      </c>
      <c r="C87" t="s">
        <v>346</v>
      </c>
      <c r="D87">
        <v>45</v>
      </c>
      <c r="E87" s="21">
        <v>46207</v>
      </c>
      <c r="F87" t="s">
        <v>347</v>
      </c>
      <c r="G87" t="s">
        <v>59</v>
      </c>
    </row>
    <row r="88" spans="1:7" ht="15" x14ac:dyDescent="0.25">
      <c r="A88" t="s">
        <v>329</v>
      </c>
      <c r="B88">
        <v>10</v>
      </c>
      <c r="C88" t="s">
        <v>348</v>
      </c>
      <c r="D88">
        <v>40</v>
      </c>
      <c r="E88" s="21">
        <v>46207</v>
      </c>
      <c r="F88" t="s">
        <v>349</v>
      </c>
      <c r="G88" t="s">
        <v>59</v>
      </c>
    </row>
    <row r="89" spans="1:7" ht="15" x14ac:dyDescent="0.25">
      <c r="A89" t="s">
        <v>329</v>
      </c>
      <c r="B89">
        <v>11</v>
      </c>
      <c r="C89" t="s">
        <v>293</v>
      </c>
      <c r="D89">
        <v>180</v>
      </c>
      <c r="E89" s="21">
        <v>46207</v>
      </c>
      <c r="F89" t="s">
        <v>293</v>
      </c>
      <c r="G89" t="s">
        <v>59</v>
      </c>
    </row>
    <row r="90" spans="1:7" ht="15" x14ac:dyDescent="0.25">
      <c r="A90" t="s">
        <v>329</v>
      </c>
      <c r="B90">
        <v>12</v>
      </c>
      <c r="C90" t="s">
        <v>350</v>
      </c>
      <c r="D90">
        <v>30</v>
      </c>
      <c r="E90" s="21">
        <v>46207</v>
      </c>
      <c r="F90" t="s">
        <v>351</v>
      </c>
      <c r="G90" t="s">
        <v>59</v>
      </c>
    </row>
    <row r="91" spans="1:7" ht="15" x14ac:dyDescent="0.25">
      <c r="A91" t="s">
        <v>357</v>
      </c>
      <c r="B91">
        <v>1</v>
      </c>
      <c r="C91" t="s">
        <v>57</v>
      </c>
      <c r="D91">
        <v>45</v>
      </c>
      <c r="E91" s="21">
        <v>46269</v>
      </c>
      <c r="F91" t="s">
        <v>58</v>
      </c>
      <c r="G91" t="s">
        <v>59</v>
      </c>
    </row>
    <row r="92" spans="1:7" ht="15" x14ac:dyDescent="0.25">
      <c r="A92" t="s">
        <v>357</v>
      </c>
      <c r="B92">
        <v>2</v>
      </c>
      <c r="C92" t="s">
        <v>60</v>
      </c>
      <c r="D92">
        <v>65</v>
      </c>
      <c r="E92" s="21">
        <v>46269</v>
      </c>
      <c r="F92" t="s">
        <v>60</v>
      </c>
      <c r="G92" t="s">
        <v>59</v>
      </c>
    </row>
    <row r="93" spans="1:7" ht="15" x14ac:dyDescent="0.25">
      <c r="A93" t="s">
        <v>357</v>
      </c>
      <c r="B93">
        <v>3</v>
      </c>
      <c r="C93" t="s">
        <v>132</v>
      </c>
      <c r="D93">
        <v>40</v>
      </c>
      <c r="E93" s="21">
        <v>46269</v>
      </c>
      <c r="F93" t="s">
        <v>132</v>
      </c>
      <c r="G93" t="s">
        <v>59</v>
      </c>
    </row>
    <row r="94" spans="1:7" ht="15" x14ac:dyDescent="0.25">
      <c r="A94" t="s">
        <v>357</v>
      </c>
      <c r="B94">
        <v>4</v>
      </c>
      <c r="C94" t="s">
        <v>43</v>
      </c>
      <c r="D94">
        <v>90</v>
      </c>
      <c r="E94" s="21">
        <v>46269</v>
      </c>
      <c r="F94" t="s">
        <v>257</v>
      </c>
      <c r="G94" t="s">
        <v>59</v>
      </c>
    </row>
    <row r="95" spans="1:7" ht="15" x14ac:dyDescent="0.25">
      <c r="A95" t="s">
        <v>357</v>
      </c>
      <c r="B95">
        <v>5</v>
      </c>
      <c r="C95" t="s">
        <v>360</v>
      </c>
      <c r="D95">
        <v>100</v>
      </c>
      <c r="E95" s="21">
        <v>46269</v>
      </c>
      <c r="F95" t="s">
        <v>360</v>
      </c>
      <c r="G95" t="s">
        <v>59</v>
      </c>
    </row>
    <row r="96" spans="1:7" ht="15" x14ac:dyDescent="0.25">
      <c r="A96" t="s">
        <v>357</v>
      </c>
      <c r="B96">
        <v>6</v>
      </c>
      <c r="C96" t="s">
        <v>361</v>
      </c>
      <c r="D96">
        <v>30</v>
      </c>
      <c r="E96" s="21">
        <v>46269</v>
      </c>
      <c r="F96" t="s">
        <v>361</v>
      </c>
      <c r="G96" t="s">
        <v>59</v>
      </c>
    </row>
    <row r="97" spans="1:7" ht="15" x14ac:dyDescent="0.25">
      <c r="A97" t="s">
        <v>357</v>
      </c>
      <c r="B97">
        <v>7</v>
      </c>
      <c r="C97" t="s">
        <v>362</v>
      </c>
      <c r="D97">
        <v>150</v>
      </c>
      <c r="E97" s="21">
        <v>46269</v>
      </c>
      <c r="F97" t="s">
        <v>363</v>
      </c>
      <c r="G97" t="s">
        <v>59</v>
      </c>
    </row>
    <row r="98" spans="1:7" ht="15" x14ac:dyDescent="0.25">
      <c r="A98" t="s">
        <v>357</v>
      </c>
      <c r="B98">
        <v>8</v>
      </c>
      <c r="C98" t="s">
        <v>364</v>
      </c>
      <c r="D98">
        <v>40</v>
      </c>
      <c r="E98" s="21">
        <v>46269</v>
      </c>
      <c r="F98" t="s">
        <v>365</v>
      </c>
      <c r="G98" t="s">
        <v>59</v>
      </c>
    </row>
    <row r="99" spans="1:7" ht="15" x14ac:dyDescent="0.25">
      <c r="A99" t="s">
        <v>357</v>
      </c>
      <c r="B99">
        <v>9</v>
      </c>
      <c r="C99" t="s">
        <v>366</v>
      </c>
      <c r="D99">
        <v>50</v>
      </c>
      <c r="E99" s="21">
        <v>46269</v>
      </c>
      <c r="F99" t="s">
        <v>367</v>
      </c>
      <c r="G99" t="s">
        <v>59</v>
      </c>
    </row>
    <row r="100" spans="1:7" ht="15" x14ac:dyDescent="0.25">
      <c r="A100" t="s">
        <v>357</v>
      </c>
      <c r="B100">
        <v>10</v>
      </c>
      <c r="C100" t="s">
        <v>294</v>
      </c>
      <c r="D100">
        <v>180</v>
      </c>
      <c r="E100" s="21">
        <v>46269</v>
      </c>
      <c r="F100" t="s">
        <v>368</v>
      </c>
      <c r="G100" t="s">
        <v>59</v>
      </c>
    </row>
    <row r="101" spans="1:7" ht="15" x14ac:dyDescent="0.25">
      <c r="A101" t="s">
        <v>357</v>
      </c>
      <c r="B101">
        <v>11</v>
      </c>
      <c r="C101" t="s">
        <v>270</v>
      </c>
      <c r="D101">
        <v>35</v>
      </c>
      <c r="E101" s="21">
        <v>46269</v>
      </c>
      <c r="F101" t="s">
        <v>270</v>
      </c>
      <c r="G101" t="s">
        <v>59</v>
      </c>
    </row>
    <row r="102" spans="1:7" ht="15" x14ac:dyDescent="0.25">
      <c r="A102" t="s">
        <v>357</v>
      </c>
      <c r="B102">
        <v>12</v>
      </c>
      <c r="C102" t="s">
        <v>369</v>
      </c>
      <c r="D102">
        <v>45</v>
      </c>
      <c r="E102" s="21">
        <v>46269</v>
      </c>
      <c r="F102" t="s">
        <v>149</v>
      </c>
      <c r="G102" t="s">
        <v>59</v>
      </c>
    </row>
  </sheetData>
  <phoneticPr fontId="3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BEC6F-A151-4B59-B9BB-A4961175A8AE}">
  <sheetPr codeName="Hoja10">
    <tabColor rgb="FFC00000"/>
  </sheetPr>
  <dimension ref="A1:U46"/>
  <sheetViews>
    <sheetView topLeftCell="B1" workbookViewId="0">
      <selection activeCell="D30" sqref="D30"/>
    </sheetView>
  </sheetViews>
  <sheetFormatPr baseColWidth="10" defaultColWidth="6.7109375" defaultRowHeight="20.100000000000001" customHeight="1" x14ac:dyDescent="0.25"/>
  <cols>
    <col min="1" max="1" width="29.7109375" bestFit="1" customWidth="1"/>
    <col min="2" max="2" width="15.7109375" bestFit="1" customWidth="1"/>
    <col min="3" max="3" width="14.7109375" bestFit="1" customWidth="1"/>
    <col min="4" max="4" width="5.140625" bestFit="1" customWidth="1"/>
    <col min="5" max="5" width="17.5703125" bestFit="1" customWidth="1"/>
    <col min="6" max="6" width="16.42578125" bestFit="1" customWidth="1"/>
    <col min="7" max="7" width="23.140625" bestFit="1" customWidth="1"/>
    <col min="8" max="8" width="22.28515625" bestFit="1" customWidth="1"/>
    <col min="9" max="9" width="18.140625" bestFit="1" customWidth="1"/>
    <col min="10" max="10" width="11.7109375" bestFit="1" customWidth="1"/>
    <col min="11" max="11" width="19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167</v>
      </c>
      <c r="B3" s="6" t="s">
        <v>165</v>
      </c>
      <c r="C3" s="6" t="s">
        <v>3</v>
      </c>
      <c r="D3" s="6" t="s">
        <v>4</v>
      </c>
      <c r="E3" s="6" t="s">
        <v>168</v>
      </c>
      <c r="F3" s="6" t="s">
        <v>169</v>
      </c>
      <c r="G3" s="6" t="s">
        <v>170</v>
      </c>
      <c r="H3" s="6" t="s">
        <v>171</v>
      </c>
      <c r="I3" s="6" t="s">
        <v>172</v>
      </c>
      <c r="J3" s="6" t="s">
        <v>0</v>
      </c>
      <c r="K3" s="6" t="s">
        <v>173</v>
      </c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87</v>
      </c>
      <c r="B4" t="s">
        <v>53</v>
      </c>
      <c r="C4" t="s">
        <v>56</v>
      </c>
      <c r="D4" t="s">
        <v>80</v>
      </c>
      <c r="E4">
        <v>23</v>
      </c>
      <c r="F4" s="2">
        <v>46083</v>
      </c>
      <c r="G4" s="2">
        <v>46084</v>
      </c>
      <c r="H4">
        <v>253</v>
      </c>
      <c r="I4">
        <v>11</v>
      </c>
      <c r="J4" t="s">
        <v>85</v>
      </c>
      <c r="K4" s="2">
        <v>46084</v>
      </c>
    </row>
    <row r="5" spans="1:21" ht="15" x14ac:dyDescent="0.25">
      <c r="A5" t="s">
        <v>88</v>
      </c>
      <c r="B5" t="s">
        <v>53</v>
      </c>
      <c r="C5" t="s">
        <v>56</v>
      </c>
      <c r="D5" t="s">
        <v>48</v>
      </c>
      <c r="E5">
        <v>37</v>
      </c>
      <c r="F5" s="2">
        <v>46056</v>
      </c>
      <c r="G5" s="2">
        <v>46084</v>
      </c>
      <c r="H5">
        <v>407</v>
      </c>
      <c r="I5">
        <v>11</v>
      </c>
      <c r="J5" t="s">
        <v>85</v>
      </c>
      <c r="K5" s="2">
        <v>46084</v>
      </c>
    </row>
    <row r="6" spans="1:21" ht="15" x14ac:dyDescent="0.25">
      <c r="A6" t="s">
        <v>89</v>
      </c>
      <c r="B6" t="s">
        <v>53</v>
      </c>
      <c r="C6" t="s">
        <v>56</v>
      </c>
      <c r="D6" t="s">
        <v>49</v>
      </c>
      <c r="E6">
        <v>23</v>
      </c>
      <c r="F6" s="2">
        <v>46083</v>
      </c>
      <c r="G6" s="2">
        <v>46084</v>
      </c>
      <c r="H6">
        <v>207</v>
      </c>
      <c r="I6">
        <v>9</v>
      </c>
      <c r="J6" t="s">
        <v>85</v>
      </c>
      <c r="K6" s="2">
        <v>46084</v>
      </c>
    </row>
    <row r="7" spans="1:21" ht="15" x14ac:dyDescent="0.25">
      <c r="A7" t="s">
        <v>90</v>
      </c>
      <c r="B7" t="s">
        <v>53</v>
      </c>
      <c r="C7" t="s">
        <v>56</v>
      </c>
      <c r="D7" t="s">
        <v>50</v>
      </c>
      <c r="E7">
        <v>12</v>
      </c>
      <c r="F7" s="2">
        <v>46084</v>
      </c>
      <c r="G7" s="2">
        <v>46084</v>
      </c>
      <c r="H7">
        <v>60</v>
      </c>
      <c r="I7">
        <v>5</v>
      </c>
      <c r="J7" t="s">
        <v>85</v>
      </c>
      <c r="K7" s="2">
        <v>46084</v>
      </c>
    </row>
    <row r="8" spans="1:21" ht="15" x14ac:dyDescent="0.25">
      <c r="A8" t="s">
        <v>91</v>
      </c>
      <c r="B8" t="s">
        <v>53</v>
      </c>
      <c r="C8" t="s">
        <v>55</v>
      </c>
      <c r="D8" t="s">
        <v>81</v>
      </c>
      <c r="E8">
        <v>55</v>
      </c>
      <c r="F8" s="2">
        <v>46083</v>
      </c>
      <c r="G8" s="2">
        <v>46084</v>
      </c>
      <c r="H8">
        <v>55</v>
      </c>
      <c r="I8">
        <v>1</v>
      </c>
      <c r="J8" t="s">
        <v>85</v>
      </c>
      <c r="K8" s="2">
        <v>46084</v>
      </c>
    </row>
    <row r="9" spans="1:21" ht="15" x14ac:dyDescent="0.25">
      <c r="A9" t="s">
        <v>92</v>
      </c>
      <c r="B9" t="s">
        <v>53</v>
      </c>
      <c r="C9" t="s">
        <v>55</v>
      </c>
      <c r="D9" t="s">
        <v>82</v>
      </c>
      <c r="E9">
        <v>36</v>
      </c>
      <c r="F9" s="2">
        <v>46083</v>
      </c>
      <c r="G9" s="2">
        <v>46084</v>
      </c>
      <c r="H9">
        <v>107</v>
      </c>
      <c r="I9">
        <v>2.9722222222222223</v>
      </c>
      <c r="J9" t="s">
        <v>85</v>
      </c>
      <c r="K9" s="2">
        <v>46084</v>
      </c>
    </row>
    <row r="10" spans="1:21" ht="15" x14ac:dyDescent="0.25">
      <c r="A10" t="s">
        <v>93</v>
      </c>
      <c r="B10" t="s">
        <v>53</v>
      </c>
      <c r="C10" t="s">
        <v>55</v>
      </c>
      <c r="D10" t="s">
        <v>50</v>
      </c>
      <c r="E10">
        <v>19</v>
      </c>
      <c r="F10" s="2">
        <v>46056</v>
      </c>
      <c r="G10" s="2">
        <v>46084</v>
      </c>
      <c r="H10">
        <v>133</v>
      </c>
      <c r="I10">
        <v>7</v>
      </c>
      <c r="J10" t="s">
        <v>85</v>
      </c>
      <c r="K10" s="2">
        <v>46084</v>
      </c>
    </row>
    <row r="11" spans="1:21" ht="15" x14ac:dyDescent="0.25">
      <c r="A11" t="s">
        <v>94</v>
      </c>
      <c r="B11" t="s">
        <v>53</v>
      </c>
      <c r="C11" t="s">
        <v>55</v>
      </c>
      <c r="D11" t="s">
        <v>51</v>
      </c>
      <c r="E11">
        <v>36</v>
      </c>
      <c r="F11" s="2">
        <v>46085</v>
      </c>
      <c r="G11" s="2">
        <v>46085</v>
      </c>
      <c r="H11">
        <v>430</v>
      </c>
      <c r="I11">
        <v>11.944444444444445</v>
      </c>
      <c r="J11" t="s">
        <v>85</v>
      </c>
      <c r="K11" s="2">
        <v>46085</v>
      </c>
    </row>
    <row r="12" spans="1:21" ht="15" x14ac:dyDescent="0.25">
      <c r="F12" s="2"/>
      <c r="G12" s="2"/>
      <c r="K12" s="2"/>
    </row>
    <row r="13" spans="1:21" ht="15" x14ac:dyDescent="0.25">
      <c r="A13" t="s">
        <v>155</v>
      </c>
      <c r="B13" t="s">
        <v>403</v>
      </c>
      <c r="C13" t="s">
        <v>153</v>
      </c>
      <c r="D13" t="s">
        <v>152</v>
      </c>
      <c r="E13">
        <v>30</v>
      </c>
      <c r="F13" s="2">
        <v>46090</v>
      </c>
      <c r="G13" s="2">
        <v>46090</v>
      </c>
      <c r="H13">
        <v>0</v>
      </c>
      <c r="I13">
        <v>0</v>
      </c>
      <c r="J13" t="s">
        <v>52</v>
      </c>
    </row>
    <row r="14" spans="1:21" ht="15" x14ac:dyDescent="0.25">
      <c r="A14" t="s">
        <v>205</v>
      </c>
      <c r="B14" t="s">
        <v>403</v>
      </c>
      <c r="C14" t="s">
        <v>153</v>
      </c>
      <c r="D14" t="s">
        <v>51</v>
      </c>
      <c r="E14">
        <v>62</v>
      </c>
      <c r="F14" s="2">
        <v>46268</v>
      </c>
      <c r="G14" s="2">
        <v>46268</v>
      </c>
      <c r="H14">
        <v>124</v>
      </c>
      <c r="I14">
        <v>2</v>
      </c>
      <c r="J14" t="s">
        <v>85</v>
      </c>
      <c r="K14" s="2">
        <v>46091</v>
      </c>
    </row>
    <row r="15" spans="1:21" ht="15" x14ac:dyDescent="0.25">
      <c r="A15" t="s">
        <v>206</v>
      </c>
      <c r="B15" t="s">
        <v>403</v>
      </c>
      <c r="C15" t="s">
        <v>153</v>
      </c>
      <c r="D15" t="s">
        <v>48</v>
      </c>
      <c r="E15">
        <v>60</v>
      </c>
      <c r="F15" s="2">
        <v>46268</v>
      </c>
      <c r="G15" s="2">
        <v>46268</v>
      </c>
      <c r="H15">
        <v>60</v>
      </c>
      <c r="I15">
        <v>1</v>
      </c>
      <c r="J15" t="s">
        <v>85</v>
      </c>
      <c r="K15" s="2">
        <v>46091</v>
      </c>
    </row>
    <row r="16" spans="1:21" ht="15" x14ac:dyDescent="0.25">
      <c r="A16" t="s">
        <v>207</v>
      </c>
      <c r="B16" t="s">
        <v>403</v>
      </c>
      <c r="C16" t="s">
        <v>153</v>
      </c>
      <c r="D16" t="s">
        <v>49</v>
      </c>
      <c r="E16">
        <v>30</v>
      </c>
      <c r="F16" s="2">
        <v>46268</v>
      </c>
      <c r="G16" s="2">
        <v>46268</v>
      </c>
      <c r="H16">
        <v>0</v>
      </c>
      <c r="I16">
        <v>0</v>
      </c>
      <c r="J16" t="s">
        <v>52</v>
      </c>
      <c r="K16" s="2">
        <v>46091</v>
      </c>
    </row>
    <row r="17" spans="1:11" ht="15" x14ac:dyDescent="0.25">
      <c r="A17" t="s">
        <v>208</v>
      </c>
      <c r="B17" t="s">
        <v>403</v>
      </c>
      <c r="C17" t="s">
        <v>154</v>
      </c>
      <c r="D17" t="s">
        <v>152</v>
      </c>
      <c r="E17">
        <v>45</v>
      </c>
      <c r="F17" s="2">
        <v>46268</v>
      </c>
      <c r="G17" s="2">
        <v>46268</v>
      </c>
      <c r="H17">
        <v>480</v>
      </c>
      <c r="I17">
        <v>10.666666666666666</v>
      </c>
      <c r="J17" t="s">
        <v>85</v>
      </c>
      <c r="K17" s="2">
        <v>46091</v>
      </c>
    </row>
    <row r="18" spans="1:11" ht="15" x14ac:dyDescent="0.25">
      <c r="A18" t="s">
        <v>209</v>
      </c>
      <c r="B18" t="s">
        <v>403</v>
      </c>
      <c r="C18" t="s">
        <v>154</v>
      </c>
      <c r="D18" t="s">
        <v>51</v>
      </c>
      <c r="E18">
        <v>92</v>
      </c>
      <c r="F18" s="2">
        <v>46090</v>
      </c>
      <c r="G18" s="2">
        <v>46090</v>
      </c>
      <c r="H18">
        <v>552</v>
      </c>
      <c r="I18">
        <v>6</v>
      </c>
      <c r="J18" t="s">
        <v>85</v>
      </c>
      <c r="K18" s="2">
        <v>46091</v>
      </c>
    </row>
    <row r="19" spans="1:11" ht="15" x14ac:dyDescent="0.25">
      <c r="A19" t="s">
        <v>210</v>
      </c>
      <c r="B19" t="s">
        <v>403</v>
      </c>
      <c r="C19" t="s">
        <v>154</v>
      </c>
      <c r="D19" t="s">
        <v>48</v>
      </c>
      <c r="E19">
        <v>90</v>
      </c>
      <c r="F19" s="2">
        <v>46268</v>
      </c>
      <c r="G19" s="2">
        <v>46268</v>
      </c>
      <c r="H19">
        <v>270</v>
      </c>
      <c r="I19">
        <v>3</v>
      </c>
      <c r="J19" t="s">
        <v>85</v>
      </c>
      <c r="K19" s="2">
        <v>46091</v>
      </c>
    </row>
    <row r="20" spans="1:11" ht="15" x14ac:dyDescent="0.25">
      <c r="A20" t="s">
        <v>211</v>
      </c>
      <c r="B20" t="s">
        <v>403</v>
      </c>
      <c r="C20" t="s">
        <v>154</v>
      </c>
      <c r="D20" t="s">
        <v>49</v>
      </c>
      <c r="E20">
        <v>45</v>
      </c>
      <c r="F20" s="2">
        <v>46268</v>
      </c>
      <c r="G20" s="2">
        <v>46268</v>
      </c>
      <c r="H20">
        <v>450</v>
      </c>
      <c r="I20">
        <v>10</v>
      </c>
      <c r="J20" t="s">
        <v>85</v>
      </c>
      <c r="K20" s="2">
        <v>46091</v>
      </c>
    </row>
    <row r="21" spans="1:11" ht="15" x14ac:dyDescent="0.25">
      <c r="F21" s="2"/>
      <c r="G21" s="2"/>
      <c r="K21" s="2"/>
    </row>
    <row r="22" spans="1:11" ht="15" x14ac:dyDescent="0.25">
      <c r="A22" t="s">
        <v>234</v>
      </c>
      <c r="B22" t="s">
        <v>217</v>
      </c>
      <c r="C22" t="s">
        <v>55</v>
      </c>
      <c r="D22" t="s">
        <v>51</v>
      </c>
      <c r="E22">
        <v>127</v>
      </c>
      <c r="F22" t="s">
        <v>235</v>
      </c>
      <c r="G22" t="s">
        <v>235</v>
      </c>
      <c r="H22">
        <v>1651</v>
      </c>
      <c r="I22">
        <v>13</v>
      </c>
      <c r="J22" t="s">
        <v>85</v>
      </c>
      <c r="K22" s="2">
        <v>46097</v>
      </c>
    </row>
    <row r="23" spans="1:11" ht="15" x14ac:dyDescent="0.25">
      <c r="A23" t="s">
        <v>236</v>
      </c>
      <c r="B23" t="s">
        <v>217</v>
      </c>
      <c r="C23" t="s">
        <v>55</v>
      </c>
      <c r="D23" t="s">
        <v>48</v>
      </c>
      <c r="E23">
        <v>200</v>
      </c>
      <c r="F23" t="s">
        <v>235</v>
      </c>
      <c r="G23" t="s">
        <v>235</v>
      </c>
      <c r="H23">
        <v>3520</v>
      </c>
      <c r="I23">
        <v>17.600000000000001</v>
      </c>
      <c r="J23" t="s">
        <v>85</v>
      </c>
      <c r="K23" s="2">
        <v>46097</v>
      </c>
    </row>
    <row r="24" spans="1:11" ht="15" x14ac:dyDescent="0.25">
      <c r="A24" t="s">
        <v>237</v>
      </c>
      <c r="B24" t="s">
        <v>217</v>
      </c>
      <c r="C24" t="s">
        <v>55</v>
      </c>
      <c r="D24" t="s">
        <v>49</v>
      </c>
      <c r="E24">
        <v>127</v>
      </c>
      <c r="F24" t="s">
        <v>235</v>
      </c>
      <c r="G24" t="s">
        <v>235</v>
      </c>
      <c r="H24">
        <v>1778</v>
      </c>
      <c r="I24">
        <v>14</v>
      </c>
      <c r="J24" t="s">
        <v>85</v>
      </c>
      <c r="K24" s="2">
        <v>46097</v>
      </c>
    </row>
    <row r="25" spans="1:11" ht="15" x14ac:dyDescent="0.25">
      <c r="A25" t="s">
        <v>238</v>
      </c>
      <c r="B25" t="s">
        <v>217</v>
      </c>
      <c r="C25" t="s">
        <v>55</v>
      </c>
      <c r="D25" t="s">
        <v>50</v>
      </c>
      <c r="E25">
        <v>64</v>
      </c>
      <c r="F25" t="s">
        <v>235</v>
      </c>
      <c r="G25" t="s">
        <v>235</v>
      </c>
      <c r="H25">
        <v>768</v>
      </c>
      <c r="I25">
        <v>12</v>
      </c>
      <c r="J25" t="s">
        <v>85</v>
      </c>
      <c r="K25" s="2">
        <v>46097</v>
      </c>
    </row>
    <row r="26" spans="1:11" ht="15" x14ac:dyDescent="0.25">
      <c r="A26" t="s">
        <v>263</v>
      </c>
      <c r="B26" t="s">
        <v>404</v>
      </c>
      <c r="C26" t="s">
        <v>264</v>
      </c>
      <c r="D26" t="s">
        <v>51</v>
      </c>
      <c r="E26">
        <v>47</v>
      </c>
      <c r="F26" t="s">
        <v>265</v>
      </c>
      <c r="G26" t="s">
        <v>265</v>
      </c>
      <c r="H26">
        <v>470</v>
      </c>
      <c r="I26">
        <v>10</v>
      </c>
      <c r="J26" t="s">
        <v>85</v>
      </c>
      <c r="K26" s="22">
        <v>0</v>
      </c>
    </row>
    <row r="27" spans="1:11" ht="15" x14ac:dyDescent="0.25">
      <c r="A27" t="s">
        <v>276</v>
      </c>
      <c r="B27" t="s">
        <v>326</v>
      </c>
      <c r="C27" t="s">
        <v>275</v>
      </c>
      <c r="D27" t="s">
        <v>152</v>
      </c>
      <c r="E27">
        <v>47</v>
      </c>
      <c r="F27" t="s">
        <v>265</v>
      </c>
      <c r="G27" t="s">
        <v>265</v>
      </c>
      <c r="H27">
        <v>564</v>
      </c>
      <c r="I27">
        <v>12</v>
      </c>
      <c r="J27" t="s">
        <v>85</v>
      </c>
      <c r="K27" s="22">
        <v>0</v>
      </c>
    </row>
    <row r="28" spans="1:11" ht="15" x14ac:dyDescent="0.25">
      <c r="A28" t="s">
        <v>277</v>
      </c>
      <c r="B28" t="s">
        <v>326</v>
      </c>
      <c r="C28" t="s">
        <v>275</v>
      </c>
      <c r="D28" t="s">
        <v>51</v>
      </c>
      <c r="E28">
        <v>101</v>
      </c>
      <c r="F28" t="s">
        <v>265</v>
      </c>
      <c r="G28" t="s">
        <v>265</v>
      </c>
      <c r="H28">
        <v>1085</v>
      </c>
      <c r="I28">
        <v>10.742574257425742</v>
      </c>
      <c r="J28" t="s">
        <v>85</v>
      </c>
      <c r="K28" s="22">
        <v>0</v>
      </c>
    </row>
    <row r="29" spans="1:11" ht="15" x14ac:dyDescent="0.25">
      <c r="A29" t="s">
        <v>278</v>
      </c>
      <c r="B29" t="s">
        <v>326</v>
      </c>
      <c r="C29" t="s">
        <v>275</v>
      </c>
      <c r="D29" t="s">
        <v>48</v>
      </c>
      <c r="E29">
        <v>94</v>
      </c>
      <c r="F29" t="s">
        <v>265</v>
      </c>
      <c r="G29" t="s">
        <v>265</v>
      </c>
      <c r="H29">
        <v>1222</v>
      </c>
      <c r="I29">
        <v>13</v>
      </c>
      <c r="J29" t="s">
        <v>85</v>
      </c>
      <c r="K29" s="22">
        <v>0</v>
      </c>
    </row>
    <row r="30" spans="1:11" ht="15" x14ac:dyDescent="0.25">
      <c r="A30" t="s">
        <v>279</v>
      </c>
      <c r="B30" t="s">
        <v>326</v>
      </c>
      <c r="C30" t="s">
        <v>275</v>
      </c>
      <c r="D30" t="s">
        <v>49</v>
      </c>
      <c r="E30">
        <v>47</v>
      </c>
      <c r="F30" t="s">
        <v>265</v>
      </c>
      <c r="G30" t="s">
        <v>265</v>
      </c>
      <c r="H30">
        <v>611</v>
      </c>
      <c r="I30">
        <v>13</v>
      </c>
      <c r="J30" t="s">
        <v>85</v>
      </c>
      <c r="K30" s="22">
        <v>0</v>
      </c>
    </row>
    <row r="31" spans="1:11" ht="15" x14ac:dyDescent="0.25">
      <c r="A31" t="s">
        <v>302</v>
      </c>
      <c r="B31" t="s">
        <v>298</v>
      </c>
      <c r="C31" t="s">
        <v>301</v>
      </c>
      <c r="D31" t="s">
        <v>51</v>
      </c>
      <c r="E31">
        <v>9</v>
      </c>
      <c r="F31" t="s">
        <v>303</v>
      </c>
      <c r="G31" t="s">
        <v>303</v>
      </c>
      <c r="H31">
        <v>135</v>
      </c>
      <c r="I31">
        <v>15</v>
      </c>
      <c r="J31" t="s">
        <v>85</v>
      </c>
      <c r="K31" s="22">
        <v>0</v>
      </c>
    </row>
    <row r="32" spans="1:11" ht="15" x14ac:dyDescent="0.25">
      <c r="A32" t="s">
        <v>304</v>
      </c>
      <c r="B32" t="s">
        <v>298</v>
      </c>
      <c r="C32" t="s">
        <v>301</v>
      </c>
      <c r="D32" t="s">
        <v>48</v>
      </c>
      <c r="E32">
        <v>10</v>
      </c>
      <c r="F32" t="s">
        <v>303</v>
      </c>
      <c r="G32" t="s">
        <v>303</v>
      </c>
      <c r="H32">
        <v>130</v>
      </c>
      <c r="I32">
        <v>13</v>
      </c>
      <c r="J32" t="s">
        <v>85</v>
      </c>
      <c r="K32" s="22">
        <v>0</v>
      </c>
    </row>
    <row r="33" spans="1:11" ht="15" x14ac:dyDescent="0.25">
      <c r="A33" t="s">
        <v>305</v>
      </c>
      <c r="B33" t="s">
        <v>298</v>
      </c>
      <c r="C33" t="s">
        <v>301</v>
      </c>
      <c r="D33" t="s">
        <v>49</v>
      </c>
      <c r="E33">
        <v>4</v>
      </c>
      <c r="F33" t="s">
        <v>303</v>
      </c>
      <c r="G33" t="s">
        <v>303</v>
      </c>
      <c r="H33">
        <v>48</v>
      </c>
      <c r="I33">
        <v>12</v>
      </c>
      <c r="J33" t="s">
        <v>85</v>
      </c>
      <c r="K33" s="22">
        <v>0</v>
      </c>
    </row>
    <row r="34" spans="1:11" ht="15" x14ac:dyDescent="0.25">
      <c r="A34" t="s">
        <v>306</v>
      </c>
      <c r="B34" t="s">
        <v>298</v>
      </c>
      <c r="C34" t="s">
        <v>301</v>
      </c>
      <c r="D34" t="s">
        <v>50</v>
      </c>
      <c r="E34">
        <v>4</v>
      </c>
      <c r="F34" t="s">
        <v>303</v>
      </c>
      <c r="G34" t="s">
        <v>303</v>
      </c>
      <c r="H34">
        <v>48</v>
      </c>
      <c r="I34">
        <v>12</v>
      </c>
      <c r="J34" t="s">
        <v>85</v>
      </c>
      <c r="K34" s="22">
        <v>0</v>
      </c>
    </row>
    <row r="35" spans="1:11" ht="15" x14ac:dyDescent="0.25">
      <c r="A35" t="s">
        <v>307</v>
      </c>
      <c r="B35" t="s">
        <v>298</v>
      </c>
      <c r="C35" t="s">
        <v>55</v>
      </c>
      <c r="D35" t="s">
        <v>51</v>
      </c>
      <c r="E35">
        <v>30</v>
      </c>
      <c r="F35" t="s">
        <v>303</v>
      </c>
      <c r="G35" t="s">
        <v>303</v>
      </c>
      <c r="H35">
        <v>390</v>
      </c>
      <c r="I35">
        <v>13</v>
      </c>
      <c r="J35" t="s">
        <v>85</v>
      </c>
      <c r="K35" s="22">
        <v>0</v>
      </c>
    </row>
    <row r="36" spans="1:11" ht="15" x14ac:dyDescent="0.25">
      <c r="A36" t="s">
        <v>308</v>
      </c>
      <c r="B36" t="s">
        <v>298</v>
      </c>
      <c r="C36" t="s">
        <v>55</v>
      </c>
      <c r="D36" t="s">
        <v>48</v>
      </c>
      <c r="E36">
        <v>31</v>
      </c>
      <c r="F36" t="s">
        <v>303</v>
      </c>
      <c r="G36" t="s">
        <v>303</v>
      </c>
      <c r="H36">
        <v>496</v>
      </c>
      <c r="I36">
        <v>16</v>
      </c>
      <c r="J36" t="s">
        <v>85</v>
      </c>
      <c r="K36" s="22">
        <v>0</v>
      </c>
    </row>
    <row r="37" spans="1:11" ht="15" x14ac:dyDescent="0.25">
      <c r="A37" t="s">
        <v>309</v>
      </c>
      <c r="B37" t="s">
        <v>298</v>
      </c>
      <c r="C37" t="s">
        <v>55</v>
      </c>
      <c r="D37" t="s">
        <v>49</v>
      </c>
      <c r="E37">
        <v>16</v>
      </c>
      <c r="F37" t="s">
        <v>303</v>
      </c>
      <c r="G37" t="s">
        <v>303</v>
      </c>
      <c r="H37">
        <v>192</v>
      </c>
      <c r="I37">
        <v>12</v>
      </c>
      <c r="J37" t="s">
        <v>85</v>
      </c>
      <c r="K37" s="22">
        <v>0</v>
      </c>
    </row>
    <row r="38" spans="1:11" ht="15" x14ac:dyDescent="0.25">
      <c r="A38" t="s">
        <v>310</v>
      </c>
      <c r="B38" t="s">
        <v>298</v>
      </c>
      <c r="C38" t="s">
        <v>55</v>
      </c>
      <c r="D38" t="s">
        <v>50</v>
      </c>
      <c r="E38">
        <v>16</v>
      </c>
      <c r="F38" s="2" t="s">
        <v>303</v>
      </c>
      <c r="G38" s="2" t="s">
        <v>303</v>
      </c>
      <c r="H38">
        <v>208</v>
      </c>
      <c r="I38">
        <v>13</v>
      </c>
      <c r="J38" t="s">
        <v>85</v>
      </c>
      <c r="K38" s="22">
        <v>0</v>
      </c>
    </row>
    <row r="39" spans="1:11" ht="15" x14ac:dyDescent="0.25">
      <c r="A39" t="s">
        <v>352</v>
      </c>
      <c r="B39" t="s">
        <v>329</v>
      </c>
      <c r="C39" t="s">
        <v>332</v>
      </c>
      <c r="D39" t="s">
        <v>51</v>
      </c>
      <c r="E39">
        <v>58</v>
      </c>
      <c r="F39" s="2">
        <v>46207</v>
      </c>
      <c r="G39" s="2">
        <v>46207</v>
      </c>
      <c r="H39">
        <v>754</v>
      </c>
      <c r="I39">
        <v>13</v>
      </c>
      <c r="J39" t="s">
        <v>85</v>
      </c>
      <c r="K39" s="2">
        <v>46120</v>
      </c>
    </row>
    <row r="40" spans="1:11" ht="15" x14ac:dyDescent="0.25">
      <c r="A40" t="s">
        <v>353</v>
      </c>
      <c r="B40" t="s">
        <v>329</v>
      </c>
      <c r="C40" t="s">
        <v>332</v>
      </c>
      <c r="D40" t="s">
        <v>48</v>
      </c>
      <c r="E40">
        <v>89</v>
      </c>
      <c r="F40" s="2">
        <v>46207</v>
      </c>
      <c r="G40" s="2">
        <v>46207</v>
      </c>
      <c r="H40">
        <v>1157</v>
      </c>
      <c r="I40">
        <v>13</v>
      </c>
      <c r="J40" t="s">
        <v>85</v>
      </c>
      <c r="K40" s="2">
        <v>46120</v>
      </c>
    </row>
    <row r="41" spans="1:11" ht="15" x14ac:dyDescent="0.25">
      <c r="A41" t="s">
        <v>354</v>
      </c>
      <c r="B41" t="s">
        <v>329</v>
      </c>
      <c r="C41" t="s">
        <v>332</v>
      </c>
      <c r="D41" t="s">
        <v>49</v>
      </c>
      <c r="E41">
        <v>58</v>
      </c>
      <c r="F41" s="2">
        <v>46207</v>
      </c>
      <c r="G41" s="2">
        <v>46207</v>
      </c>
      <c r="H41">
        <v>783</v>
      </c>
      <c r="I41">
        <v>13.5</v>
      </c>
      <c r="J41" t="s">
        <v>85</v>
      </c>
      <c r="K41" s="2">
        <v>46120</v>
      </c>
    </row>
    <row r="42" spans="1:11" ht="15" x14ac:dyDescent="0.25">
      <c r="A42" t="s">
        <v>355</v>
      </c>
      <c r="B42" t="s">
        <v>329</v>
      </c>
      <c r="C42" t="s">
        <v>332</v>
      </c>
      <c r="D42" t="s">
        <v>50</v>
      </c>
      <c r="E42">
        <v>29</v>
      </c>
      <c r="F42" s="2">
        <v>46207</v>
      </c>
      <c r="G42" s="2">
        <v>46207</v>
      </c>
      <c r="H42">
        <v>377</v>
      </c>
      <c r="I42">
        <v>13</v>
      </c>
      <c r="J42" t="s">
        <v>85</v>
      </c>
      <c r="K42" s="2">
        <v>46120</v>
      </c>
    </row>
    <row r="43" spans="1:11" ht="15" x14ac:dyDescent="0.25">
      <c r="A43" t="s">
        <v>370</v>
      </c>
      <c r="B43" t="s">
        <v>357</v>
      </c>
      <c r="C43" t="s">
        <v>55</v>
      </c>
      <c r="D43" t="s">
        <v>51</v>
      </c>
      <c r="E43">
        <v>69</v>
      </c>
      <c r="F43" s="2">
        <v>46269</v>
      </c>
      <c r="G43" s="2">
        <v>46269</v>
      </c>
      <c r="H43">
        <v>483</v>
      </c>
      <c r="I43">
        <v>7</v>
      </c>
      <c r="J43" t="s">
        <v>85</v>
      </c>
      <c r="K43" s="2">
        <v>46122</v>
      </c>
    </row>
    <row r="44" spans="1:11" ht="15" x14ac:dyDescent="0.25">
      <c r="A44" t="s">
        <v>371</v>
      </c>
      <c r="B44" t="s">
        <v>357</v>
      </c>
      <c r="C44" t="s">
        <v>55</v>
      </c>
      <c r="D44" t="s">
        <v>48</v>
      </c>
      <c r="E44">
        <v>106</v>
      </c>
      <c r="F44" s="2">
        <v>46269</v>
      </c>
      <c r="G44" s="2">
        <v>46269</v>
      </c>
      <c r="H44">
        <v>530</v>
      </c>
      <c r="I44">
        <v>5</v>
      </c>
      <c r="J44" t="s">
        <v>85</v>
      </c>
      <c r="K44" s="2">
        <v>46122</v>
      </c>
    </row>
    <row r="45" spans="1:11" ht="15" x14ac:dyDescent="0.25">
      <c r="A45" t="s">
        <v>372</v>
      </c>
      <c r="B45" t="s">
        <v>357</v>
      </c>
      <c r="C45" t="s">
        <v>55</v>
      </c>
      <c r="D45" t="s">
        <v>49</v>
      </c>
      <c r="E45">
        <v>69</v>
      </c>
      <c r="F45" s="2">
        <v>46269</v>
      </c>
      <c r="G45" s="2">
        <v>46269</v>
      </c>
      <c r="H45">
        <v>207</v>
      </c>
      <c r="I45">
        <v>3</v>
      </c>
      <c r="J45" t="s">
        <v>85</v>
      </c>
      <c r="K45" s="2">
        <v>46122</v>
      </c>
    </row>
    <row r="46" spans="1:11" ht="15" x14ac:dyDescent="0.25">
      <c r="A46" t="s">
        <v>373</v>
      </c>
      <c r="B46" t="s">
        <v>357</v>
      </c>
      <c r="C46" t="s">
        <v>55</v>
      </c>
      <c r="D46" t="s">
        <v>50</v>
      </c>
      <c r="E46">
        <v>35</v>
      </c>
      <c r="F46" s="2">
        <v>46269</v>
      </c>
      <c r="G46" s="2">
        <v>46269</v>
      </c>
      <c r="H46">
        <v>105</v>
      </c>
      <c r="I46">
        <v>3</v>
      </c>
      <c r="J46" t="s">
        <v>85</v>
      </c>
      <c r="K46" s="2">
        <v>46122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C9418-91BB-45A7-8412-752747BA6E66}">
  <sheetPr codeName="Hoja19">
    <tabColor rgb="FF808080"/>
  </sheetPr>
  <dimension ref="A1:U7"/>
  <sheetViews>
    <sheetView workbookViewId="0"/>
  </sheetViews>
  <sheetFormatPr baseColWidth="10" defaultRowHeight="15" x14ac:dyDescent="0.25"/>
  <cols>
    <col min="1" max="1" width="29.140625" bestFit="1" customWidth="1"/>
    <col min="2" max="2" width="12.28515625" bestFit="1" customWidth="1"/>
    <col min="3" max="3" width="49.85546875" bestFit="1" customWidth="1"/>
    <col min="4" max="4" width="9.42578125" bestFit="1" customWidth="1"/>
  </cols>
  <sheetData>
    <row r="1" spans="1:21" ht="15" customHeight="1" x14ac:dyDescent="0.25"/>
    <row r="2" spans="1:21" ht="45" customHeight="1" x14ac:dyDescent="0.25">
      <c r="A2" t="s">
        <v>104</v>
      </c>
      <c r="B2">
        <v>480</v>
      </c>
      <c r="C2" t="s">
        <v>35</v>
      </c>
      <c r="D2" t="s">
        <v>105</v>
      </c>
    </row>
    <row r="3" spans="1:21" ht="21.95" customHeight="1" x14ac:dyDescent="0.25">
      <c r="A3" s="6" t="s">
        <v>97</v>
      </c>
      <c r="B3" s="6" t="s">
        <v>190</v>
      </c>
      <c r="C3" s="6" t="s">
        <v>96</v>
      </c>
      <c r="D3" s="6" t="s">
        <v>8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t="s">
        <v>106</v>
      </c>
      <c r="B4" t="s">
        <v>9</v>
      </c>
      <c r="C4" t="s">
        <v>10</v>
      </c>
      <c r="D4" t="s">
        <v>11</v>
      </c>
    </row>
    <row r="5" spans="1:21" x14ac:dyDescent="0.25">
      <c r="A5" t="s">
        <v>107</v>
      </c>
      <c r="B5">
        <v>1</v>
      </c>
      <c r="C5" t="s">
        <v>12</v>
      </c>
      <c r="D5" t="s">
        <v>105</v>
      </c>
    </row>
    <row r="6" spans="1:21" x14ac:dyDescent="0.25">
      <c r="A6" t="s">
        <v>108</v>
      </c>
      <c r="B6">
        <v>44</v>
      </c>
      <c r="C6" t="s">
        <v>13</v>
      </c>
      <c r="D6" t="s">
        <v>105</v>
      </c>
    </row>
    <row r="7" spans="1:21" x14ac:dyDescent="0.25">
      <c r="A7" t="s">
        <v>109</v>
      </c>
      <c r="B7">
        <v>5</v>
      </c>
      <c r="C7" t="s">
        <v>110</v>
      </c>
      <c r="D7" t="s">
        <v>105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5248C-5E56-491E-8DBD-95B3D34ACC09}">
  <sheetPr codeName="Hoja20">
    <tabColor rgb="FF0070C0"/>
  </sheetPr>
  <dimension ref="A1:U125"/>
  <sheetViews>
    <sheetView topLeftCell="A31" workbookViewId="0"/>
  </sheetViews>
  <sheetFormatPr baseColWidth="10" defaultRowHeight="15" x14ac:dyDescent="0.25"/>
  <cols>
    <col min="1" max="1" width="10.7109375" bestFit="1" customWidth="1"/>
    <col min="2" max="2" width="11.85546875" bestFit="1" customWidth="1"/>
    <col min="3" max="3" width="26.710937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6</v>
      </c>
      <c r="B3" s="6" t="s">
        <v>189</v>
      </c>
      <c r="C3" s="6" t="s">
        <v>96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2">
        <v>46023</v>
      </c>
      <c r="B4" t="s">
        <v>14</v>
      </c>
      <c r="C4" t="s">
        <v>191</v>
      </c>
    </row>
    <row r="5" spans="1:21" x14ac:dyDescent="0.25">
      <c r="A5" s="2">
        <v>46025</v>
      </c>
      <c r="B5" t="s">
        <v>15</v>
      </c>
      <c r="C5" t="s">
        <v>192</v>
      </c>
    </row>
    <row r="6" spans="1:21" x14ac:dyDescent="0.25">
      <c r="A6" s="2">
        <v>46026</v>
      </c>
      <c r="B6" t="s">
        <v>16</v>
      </c>
      <c r="C6" t="s">
        <v>17</v>
      </c>
    </row>
    <row r="7" spans="1:21" x14ac:dyDescent="0.25">
      <c r="A7" s="2">
        <v>46032</v>
      </c>
      <c r="B7" t="s">
        <v>15</v>
      </c>
      <c r="C7" t="s">
        <v>192</v>
      </c>
    </row>
    <row r="8" spans="1:21" x14ac:dyDescent="0.25">
      <c r="A8" s="2">
        <v>46033</v>
      </c>
      <c r="B8" t="s">
        <v>16</v>
      </c>
      <c r="C8" t="s">
        <v>17</v>
      </c>
    </row>
    <row r="9" spans="1:21" x14ac:dyDescent="0.25">
      <c r="A9" s="2">
        <v>46034</v>
      </c>
      <c r="B9" t="s">
        <v>18</v>
      </c>
      <c r="C9" t="s">
        <v>19</v>
      </c>
    </row>
    <row r="10" spans="1:21" x14ac:dyDescent="0.25">
      <c r="A10" s="2">
        <v>46039</v>
      </c>
      <c r="B10" t="s">
        <v>15</v>
      </c>
      <c r="C10" t="s">
        <v>192</v>
      </c>
    </row>
    <row r="11" spans="1:21" x14ac:dyDescent="0.25">
      <c r="A11" s="2">
        <v>46040</v>
      </c>
      <c r="B11" t="s">
        <v>16</v>
      </c>
      <c r="C11" t="s">
        <v>17</v>
      </c>
    </row>
    <row r="12" spans="1:21" x14ac:dyDescent="0.25">
      <c r="A12" s="2">
        <v>46046</v>
      </c>
      <c r="B12" t="s">
        <v>15</v>
      </c>
      <c r="C12" t="s">
        <v>192</v>
      </c>
    </row>
    <row r="13" spans="1:21" x14ac:dyDescent="0.25">
      <c r="A13" s="2">
        <v>46047</v>
      </c>
      <c r="B13" t="s">
        <v>16</v>
      </c>
      <c r="C13" t="s">
        <v>17</v>
      </c>
    </row>
    <row r="14" spans="1:21" x14ac:dyDescent="0.25">
      <c r="A14" s="2">
        <v>46053</v>
      </c>
      <c r="B14" t="s">
        <v>15</v>
      </c>
      <c r="C14" t="s">
        <v>192</v>
      </c>
    </row>
    <row r="15" spans="1:21" x14ac:dyDescent="0.25">
      <c r="A15" s="2">
        <v>46054</v>
      </c>
      <c r="B15" t="s">
        <v>16</v>
      </c>
      <c r="C15" t="s">
        <v>17</v>
      </c>
    </row>
    <row r="16" spans="1:21" x14ac:dyDescent="0.25">
      <c r="A16" s="2">
        <v>46060</v>
      </c>
      <c r="B16" t="s">
        <v>15</v>
      </c>
      <c r="C16" t="s">
        <v>192</v>
      </c>
    </row>
    <row r="17" spans="1:3" x14ac:dyDescent="0.25">
      <c r="A17" s="2">
        <v>46061</v>
      </c>
      <c r="B17" t="s">
        <v>16</v>
      </c>
      <c r="C17" t="s">
        <v>17</v>
      </c>
    </row>
    <row r="18" spans="1:3" x14ac:dyDescent="0.25">
      <c r="A18" s="2">
        <v>46067</v>
      </c>
      <c r="B18" t="s">
        <v>15</v>
      </c>
      <c r="C18" t="s">
        <v>192</v>
      </c>
    </row>
    <row r="19" spans="1:3" x14ac:dyDescent="0.25">
      <c r="A19" s="2">
        <v>46068</v>
      </c>
      <c r="B19" t="s">
        <v>16</v>
      </c>
      <c r="C19" t="s">
        <v>17</v>
      </c>
    </row>
    <row r="20" spans="1:3" x14ac:dyDescent="0.25">
      <c r="A20" s="2">
        <v>46074</v>
      </c>
      <c r="B20" t="s">
        <v>15</v>
      </c>
      <c r="C20" t="s">
        <v>192</v>
      </c>
    </row>
    <row r="21" spans="1:3" x14ac:dyDescent="0.25">
      <c r="A21" s="2">
        <v>46075</v>
      </c>
      <c r="B21" t="s">
        <v>16</v>
      </c>
      <c r="C21" t="s">
        <v>17</v>
      </c>
    </row>
    <row r="22" spans="1:3" x14ac:dyDescent="0.25">
      <c r="A22" s="2">
        <v>46081</v>
      </c>
      <c r="B22" t="s">
        <v>15</v>
      </c>
      <c r="C22" t="s">
        <v>192</v>
      </c>
    </row>
    <row r="23" spans="1:3" x14ac:dyDescent="0.25">
      <c r="A23" s="2">
        <v>46082</v>
      </c>
      <c r="B23" t="s">
        <v>16</v>
      </c>
      <c r="C23" t="s">
        <v>17</v>
      </c>
    </row>
    <row r="24" spans="1:3" x14ac:dyDescent="0.25">
      <c r="A24" s="2">
        <v>46088</v>
      </c>
      <c r="B24" t="s">
        <v>15</v>
      </c>
      <c r="C24" t="s">
        <v>192</v>
      </c>
    </row>
    <row r="25" spans="1:3" x14ac:dyDescent="0.25">
      <c r="A25" s="2">
        <v>46089</v>
      </c>
      <c r="B25" t="s">
        <v>16</v>
      </c>
      <c r="C25" t="s">
        <v>17</v>
      </c>
    </row>
    <row r="26" spans="1:3" x14ac:dyDescent="0.25">
      <c r="A26" s="2">
        <v>46095</v>
      </c>
      <c r="B26" t="s">
        <v>15</v>
      </c>
      <c r="C26" t="s">
        <v>192</v>
      </c>
    </row>
    <row r="27" spans="1:3" x14ac:dyDescent="0.25">
      <c r="A27" s="2">
        <v>46096</v>
      </c>
      <c r="B27" t="s">
        <v>16</v>
      </c>
      <c r="C27" t="s">
        <v>17</v>
      </c>
    </row>
    <row r="28" spans="1:3" x14ac:dyDescent="0.25">
      <c r="A28" s="2">
        <v>46102</v>
      </c>
      <c r="B28" t="s">
        <v>15</v>
      </c>
      <c r="C28" t="s">
        <v>192</v>
      </c>
    </row>
    <row r="29" spans="1:3" x14ac:dyDescent="0.25">
      <c r="A29" s="2">
        <v>46103</v>
      </c>
      <c r="B29" t="s">
        <v>16</v>
      </c>
      <c r="C29" t="s">
        <v>17</v>
      </c>
    </row>
    <row r="30" spans="1:3" x14ac:dyDescent="0.25">
      <c r="A30" s="2">
        <v>46104</v>
      </c>
      <c r="B30" t="s">
        <v>18</v>
      </c>
      <c r="C30" t="s">
        <v>193</v>
      </c>
    </row>
    <row r="31" spans="1:3" x14ac:dyDescent="0.25">
      <c r="A31" s="2">
        <v>46109</v>
      </c>
      <c r="B31" t="s">
        <v>15</v>
      </c>
      <c r="C31" t="s">
        <v>192</v>
      </c>
    </row>
    <row r="32" spans="1:3" x14ac:dyDescent="0.25">
      <c r="A32" s="2">
        <v>46110</v>
      </c>
      <c r="B32" t="s">
        <v>16</v>
      </c>
      <c r="C32" t="s">
        <v>17</v>
      </c>
    </row>
    <row r="33" spans="1:3" x14ac:dyDescent="0.25">
      <c r="A33" s="2">
        <v>46114</v>
      </c>
      <c r="B33" t="s">
        <v>14</v>
      </c>
      <c r="C33" t="s">
        <v>194</v>
      </c>
    </row>
    <row r="34" spans="1:3" x14ac:dyDescent="0.25">
      <c r="A34" s="2">
        <v>46115</v>
      </c>
      <c r="B34" t="s">
        <v>20</v>
      </c>
      <c r="C34" t="s">
        <v>21</v>
      </c>
    </row>
    <row r="35" spans="1:3" x14ac:dyDescent="0.25">
      <c r="A35" s="2">
        <v>46116</v>
      </c>
      <c r="B35" t="s">
        <v>15</v>
      </c>
      <c r="C35" t="s">
        <v>192</v>
      </c>
    </row>
    <row r="36" spans="1:3" x14ac:dyDescent="0.25">
      <c r="A36" s="2">
        <v>46117</v>
      </c>
      <c r="B36" t="s">
        <v>16</v>
      </c>
      <c r="C36" t="s">
        <v>17</v>
      </c>
    </row>
    <row r="37" spans="1:3" x14ac:dyDescent="0.25">
      <c r="A37" s="2">
        <v>46123</v>
      </c>
      <c r="B37" t="s">
        <v>15</v>
      </c>
      <c r="C37" t="s">
        <v>192</v>
      </c>
    </row>
    <row r="38" spans="1:3" x14ac:dyDescent="0.25">
      <c r="A38" s="2">
        <v>46124</v>
      </c>
      <c r="B38" t="s">
        <v>16</v>
      </c>
      <c r="C38" t="s">
        <v>17</v>
      </c>
    </row>
    <row r="39" spans="1:3" x14ac:dyDescent="0.25">
      <c r="A39" s="2">
        <v>46130</v>
      </c>
      <c r="B39" t="s">
        <v>15</v>
      </c>
      <c r="C39" t="s">
        <v>192</v>
      </c>
    </row>
    <row r="40" spans="1:3" x14ac:dyDescent="0.25">
      <c r="A40" s="2">
        <v>46131</v>
      </c>
      <c r="B40" t="s">
        <v>16</v>
      </c>
      <c r="C40" t="s">
        <v>17</v>
      </c>
    </row>
    <row r="41" spans="1:3" x14ac:dyDescent="0.25">
      <c r="A41" s="2">
        <v>46137</v>
      </c>
      <c r="B41" t="s">
        <v>15</v>
      </c>
      <c r="C41" t="s">
        <v>192</v>
      </c>
    </row>
    <row r="42" spans="1:3" x14ac:dyDescent="0.25">
      <c r="A42" s="2">
        <v>46138</v>
      </c>
      <c r="B42" t="s">
        <v>16</v>
      </c>
      <c r="C42" t="s">
        <v>17</v>
      </c>
    </row>
    <row r="43" spans="1:3" x14ac:dyDescent="0.25">
      <c r="A43" s="2">
        <v>46143</v>
      </c>
      <c r="B43" t="s">
        <v>20</v>
      </c>
      <c r="C43" t="s">
        <v>195</v>
      </c>
    </row>
    <row r="44" spans="1:3" x14ac:dyDescent="0.25">
      <c r="A44" s="2">
        <v>46144</v>
      </c>
      <c r="B44" t="s">
        <v>15</v>
      </c>
      <c r="C44" t="s">
        <v>192</v>
      </c>
    </row>
    <row r="45" spans="1:3" x14ac:dyDescent="0.25">
      <c r="A45" s="2">
        <v>46145</v>
      </c>
      <c r="B45" t="s">
        <v>16</v>
      </c>
      <c r="C45" t="s">
        <v>17</v>
      </c>
    </row>
    <row r="46" spans="1:3" x14ac:dyDescent="0.25">
      <c r="A46" s="2">
        <v>46151</v>
      </c>
      <c r="B46" t="s">
        <v>15</v>
      </c>
      <c r="C46" t="s">
        <v>192</v>
      </c>
    </row>
    <row r="47" spans="1:3" x14ac:dyDescent="0.25">
      <c r="A47" s="2">
        <v>46152</v>
      </c>
      <c r="B47" t="s">
        <v>16</v>
      </c>
      <c r="C47" t="s">
        <v>17</v>
      </c>
    </row>
    <row r="48" spans="1:3" x14ac:dyDescent="0.25">
      <c r="A48" s="2">
        <v>46158</v>
      </c>
      <c r="B48" t="s">
        <v>15</v>
      </c>
      <c r="C48" t="s">
        <v>192</v>
      </c>
    </row>
    <row r="49" spans="1:3" x14ac:dyDescent="0.25">
      <c r="A49" s="2">
        <v>46159</v>
      </c>
      <c r="B49" t="s">
        <v>16</v>
      </c>
      <c r="C49" t="s">
        <v>17</v>
      </c>
    </row>
    <row r="50" spans="1:3" x14ac:dyDescent="0.25">
      <c r="A50" s="2">
        <v>46160</v>
      </c>
      <c r="B50" t="s">
        <v>18</v>
      </c>
      <c r="C50" t="s">
        <v>196</v>
      </c>
    </row>
    <row r="51" spans="1:3" x14ac:dyDescent="0.25">
      <c r="A51" s="2">
        <v>46165</v>
      </c>
      <c r="B51" t="s">
        <v>15</v>
      </c>
      <c r="C51" t="s">
        <v>192</v>
      </c>
    </row>
    <row r="52" spans="1:3" x14ac:dyDescent="0.25">
      <c r="A52" s="2">
        <v>46166</v>
      </c>
      <c r="B52" t="s">
        <v>16</v>
      </c>
      <c r="C52" t="s">
        <v>17</v>
      </c>
    </row>
    <row r="53" spans="1:3" x14ac:dyDescent="0.25">
      <c r="A53" s="2">
        <v>46172</v>
      </c>
      <c r="B53" t="s">
        <v>15</v>
      </c>
      <c r="C53" t="s">
        <v>192</v>
      </c>
    </row>
    <row r="54" spans="1:3" x14ac:dyDescent="0.25">
      <c r="A54" s="2">
        <v>46173</v>
      </c>
      <c r="B54" t="s">
        <v>16</v>
      </c>
      <c r="C54" t="s">
        <v>17</v>
      </c>
    </row>
    <row r="55" spans="1:3" x14ac:dyDescent="0.25">
      <c r="A55" s="2">
        <v>46179</v>
      </c>
      <c r="B55" t="s">
        <v>15</v>
      </c>
      <c r="C55" t="s">
        <v>192</v>
      </c>
    </row>
    <row r="56" spans="1:3" x14ac:dyDescent="0.25">
      <c r="A56" s="2">
        <v>46180</v>
      </c>
      <c r="B56" t="s">
        <v>16</v>
      </c>
      <c r="C56" t="s">
        <v>17</v>
      </c>
    </row>
    <row r="57" spans="1:3" x14ac:dyDescent="0.25">
      <c r="A57" s="2">
        <v>46181</v>
      </c>
      <c r="B57" t="s">
        <v>18</v>
      </c>
      <c r="C57" t="s">
        <v>22</v>
      </c>
    </row>
    <row r="58" spans="1:3" x14ac:dyDescent="0.25">
      <c r="A58" s="2">
        <v>46186</v>
      </c>
      <c r="B58" t="s">
        <v>15</v>
      </c>
      <c r="C58" t="s">
        <v>192</v>
      </c>
    </row>
    <row r="59" spans="1:3" x14ac:dyDescent="0.25">
      <c r="A59" s="2">
        <v>46187</v>
      </c>
      <c r="B59" t="s">
        <v>16</v>
      </c>
      <c r="C59" t="s">
        <v>17</v>
      </c>
    </row>
    <row r="60" spans="1:3" x14ac:dyDescent="0.25">
      <c r="A60" s="2">
        <v>46188</v>
      </c>
      <c r="B60" t="s">
        <v>18</v>
      </c>
      <c r="C60" t="s">
        <v>197</v>
      </c>
    </row>
    <row r="61" spans="1:3" x14ac:dyDescent="0.25">
      <c r="A61" s="2">
        <v>46193</v>
      </c>
      <c r="B61" t="s">
        <v>15</v>
      </c>
      <c r="C61" t="s">
        <v>192</v>
      </c>
    </row>
    <row r="62" spans="1:3" x14ac:dyDescent="0.25">
      <c r="A62" s="2">
        <v>46194</v>
      </c>
      <c r="B62" t="s">
        <v>16</v>
      </c>
      <c r="C62" t="s">
        <v>17</v>
      </c>
    </row>
    <row r="63" spans="1:3" x14ac:dyDescent="0.25">
      <c r="A63" s="2">
        <v>46200</v>
      </c>
      <c r="B63" t="s">
        <v>15</v>
      </c>
      <c r="C63" t="s">
        <v>192</v>
      </c>
    </row>
    <row r="64" spans="1:3" x14ac:dyDescent="0.25">
      <c r="A64" s="2">
        <v>46201</v>
      </c>
      <c r="B64" t="s">
        <v>16</v>
      </c>
      <c r="C64" t="s">
        <v>17</v>
      </c>
    </row>
    <row r="65" spans="1:3" x14ac:dyDescent="0.25">
      <c r="A65" s="2">
        <v>46202</v>
      </c>
      <c r="B65" t="s">
        <v>18</v>
      </c>
      <c r="C65" t="s">
        <v>23</v>
      </c>
    </row>
    <row r="66" spans="1:3" x14ac:dyDescent="0.25">
      <c r="A66" s="2">
        <v>46207</v>
      </c>
      <c r="B66" t="s">
        <v>15</v>
      </c>
      <c r="C66" t="s">
        <v>192</v>
      </c>
    </row>
    <row r="67" spans="1:3" x14ac:dyDescent="0.25">
      <c r="A67" s="2">
        <v>46208</v>
      </c>
      <c r="B67" t="s">
        <v>16</v>
      </c>
      <c r="C67" t="s">
        <v>17</v>
      </c>
    </row>
    <row r="68" spans="1:3" x14ac:dyDescent="0.25">
      <c r="A68" s="2">
        <v>46214</v>
      </c>
      <c r="B68" t="s">
        <v>15</v>
      </c>
      <c r="C68" t="s">
        <v>192</v>
      </c>
    </row>
    <row r="69" spans="1:3" x14ac:dyDescent="0.25">
      <c r="A69" s="2">
        <v>46215</v>
      </c>
      <c r="B69" t="s">
        <v>16</v>
      </c>
      <c r="C69" t="s">
        <v>17</v>
      </c>
    </row>
    <row r="70" spans="1:3" x14ac:dyDescent="0.25">
      <c r="A70" s="2">
        <v>46221</v>
      </c>
      <c r="B70" t="s">
        <v>15</v>
      </c>
      <c r="C70" t="s">
        <v>192</v>
      </c>
    </row>
    <row r="71" spans="1:3" x14ac:dyDescent="0.25">
      <c r="A71" s="2">
        <v>46222</v>
      </c>
      <c r="B71" t="s">
        <v>16</v>
      </c>
      <c r="C71" t="s">
        <v>17</v>
      </c>
    </row>
    <row r="72" spans="1:3" x14ac:dyDescent="0.25">
      <c r="A72" s="2">
        <v>46223</v>
      </c>
      <c r="B72" t="s">
        <v>18</v>
      </c>
      <c r="C72" t="s">
        <v>198</v>
      </c>
    </row>
    <row r="73" spans="1:3" x14ac:dyDescent="0.25">
      <c r="A73" s="2">
        <v>46228</v>
      </c>
      <c r="B73" t="s">
        <v>15</v>
      </c>
      <c r="C73" t="s">
        <v>192</v>
      </c>
    </row>
    <row r="74" spans="1:3" x14ac:dyDescent="0.25">
      <c r="A74" s="2">
        <v>46229</v>
      </c>
      <c r="B74" t="s">
        <v>16</v>
      </c>
      <c r="C74" t="s">
        <v>17</v>
      </c>
    </row>
    <row r="75" spans="1:3" x14ac:dyDescent="0.25">
      <c r="A75" s="2">
        <v>46235</v>
      </c>
      <c r="B75" t="s">
        <v>15</v>
      </c>
      <c r="C75" t="s">
        <v>192</v>
      </c>
    </row>
    <row r="76" spans="1:3" x14ac:dyDescent="0.25">
      <c r="A76" s="2">
        <v>46236</v>
      </c>
      <c r="B76" t="s">
        <v>16</v>
      </c>
      <c r="C76" t="s">
        <v>17</v>
      </c>
    </row>
    <row r="77" spans="1:3" x14ac:dyDescent="0.25">
      <c r="A77" s="2">
        <v>46241</v>
      </c>
      <c r="B77" t="s">
        <v>20</v>
      </c>
      <c r="C77" t="s">
        <v>199</v>
      </c>
    </row>
    <row r="78" spans="1:3" x14ac:dyDescent="0.25">
      <c r="A78" s="2">
        <v>46242</v>
      </c>
      <c r="B78" t="s">
        <v>15</v>
      </c>
      <c r="C78" t="s">
        <v>192</v>
      </c>
    </row>
    <row r="79" spans="1:3" x14ac:dyDescent="0.25">
      <c r="A79" s="2">
        <v>46243</v>
      </c>
      <c r="B79" t="s">
        <v>16</v>
      </c>
      <c r="C79" t="s">
        <v>17</v>
      </c>
    </row>
    <row r="80" spans="1:3" x14ac:dyDescent="0.25">
      <c r="A80" s="2">
        <v>46249</v>
      </c>
      <c r="B80" t="s">
        <v>15</v>
      </c>
      <c r="C80" t="s">
        <v>192</v>
      </c>
    </row>
    <row r="81" spans="1:3" x14ac:dyDescent="0.25">
      <c r="A81" s="2">
        <v>46250</v>
      </c>
      <c r="B81" t="s">
        <v>16</v>
      </c>
      <c r="C81" t="s">
        <v>17</v>
      </c>
    </row>
    <row r="82" spans="1:3" x14ac:dyDescent="0.25">
      <c r="A82" s="2">
        <v>46251</v>
      </c>
      <c r="B82" t="s">
        <v>18</v>
      </c>
      <c r="C82" t="s">
        <v>200</v>
      </c>
    </row>
    <row r="83" spans="1:3" x14ac:dyDescent="0.25">
      <c r="A83" s="2">
        <v>46256</v>
      </c>
      <c r="B83" t="s">
        <v>15</v>
      </c>
      <c r="C83" t="s">
        <v>192</v>
      </c>
    </row>
    <row r="84" spans="1:3" x14ac:dyDescent="0.25">
      <c r="A84" s="2">
        <v>46257</v>
      </c>
      <c r="B84" t="s">
        <v>16</v>
      </c>
      <c r="C84" t="s">
        <v>17</v>
      </c>
    </row>
    <row r="85" spans="1:3" x14ac:dyDescent="0.25">
      <c r="A85" s="2">
        <v>46263</v>
      </c>
      <c r="B85" t="s">
        <v>15</v>
      </c>
      <c r="C85" t="s">
        <v>192</v>
      </c>
    </row>
    <row r="86" spans="1:3" x14ac:dyDescent="0.25">
      <c r="A86" s="2">
        <v>46264</v>
      </c>
      <c r="B86" t="s">
        <v>16</v>
      </c>
      <c r="C86" t="s">
        <v>17</v>
      </c>
    </row>
    <row r="87" spans="1:3" x14ac:dyDescent="0.25">
      <c r="A87" s="2">
        <v>46270</v>
      </c>
      <c r="B87" t="s">
        <v>15</v>
      </c>
      <c r="C87" t="s">
        <v>192</v>
      </c>
    </row>
    <row r="88" spans="1:3" x14ac:dyDescent="0.25">
      <c r="A88" s="2">
        <v>46271</v>
      </c>
      <c r="B88" t="s">
        <v>16</v>
      </c>
      <c r="C88" t="s">
        <v>17</v>
      </c>
    </row>
    <row r="89" spans="1:3" x14ac:dyDescent="0.25">
      <c r="A89" s="2">
        <v>46277</v>
      </c>
      <c r="B89" t="s">
        <v>15</v>
      </c>
      <c r="C89" t="s">
        <v>192</v>
      </c>
    </row>
    <row r="90" spans="1:3" x14ac:dyDescent="0.25">
      <c r="A90" s="2">
        <v>46278</v>
      </c>
      <c r="B90" t="s">
        <v>16</v>
      </c>
      <c r="C90" t="s">
        <v>17</v>
      </c>
    </row>
    <row r="91" spans="1:3" x14ac:dyDescent="0.25">
      <c r="A91" s="2">
        <v>46284</v>
      </c>
      <c r="B91" t="s">
        <v>15</v>
      </c>
      <c r="C91" t="s">
        <v>192</v>
      </c>
    </row>
    <row r="92" spans="1:3" x14ac:dyDescent="0.25">
      <c r="A92" s="2">
        <v>46285</v>
      </c>
      <c r="B92" t="s">
        <v>16</v>
      </c>
      <c r="C92" t="s">
        <v>17</v>
      </c>
    </row>
    <row r="93" spans="1:3" x14ac:dyDescent="0.25">
      <c r="A93" s="2">
        <v>46291</v>
      </c>
      <c r="B93" t="s">
        <v>15</v>
      </c>
      <c r="C93" t="s">
        <v>192</v>
      </c>
    </row>
    <row r="94" spans="1:3" x14ac:dyDescent="0.25">
      <c r="A94" s="2">
        <v>46292</v>
      </c>
      <c r="B94" t="s">
        <v>16</v>
      </c>
      <c r="C94" t="s">
        <v>17</v>
      </c>
    </row>
    <row r="95" spans="1:3" x14ac:dyDescent="0.25">
      <c r="A95" s="2">
        <v>46298</v>
      </c>
      <c r="B95" t="s">
        <v>15</v>
      </c>
      <c r="C95" t="s">
        <v>192</v>
      </c>
    </row>
    <row r="96" spans="1:3" x14ac:dyDescent="0.25">
      <c r="A96" s="2">
        <v>46299</v>
      </c>
      <c r="B96" t="s">
        <v>16</v>
      </c>
      <c r="C96" t="s">
        <v>17</v>
      </c>
    </row>
    <row r="97" spans="1:3" x14ac:dyDescent="0.25">
      <c r="A97" s="2">
        <v>46305</v>
      </c>
      <c r="B97" t="s">
        <v>15</v>
      </c>
      <c r="C97" t="s">
        <v>192</v>
      </c>
    </row>
    <row r="98" spans="1:3" x14ac:dyDescent="0.25">
      <c r="A98" s="2">
        <v>46306</v>
      </c>
      <c r="B98" t="s">
        <v>16</v>
      </c>
      <c r="C98" t="s">
        <v>17</v>
      </c>
    </row>
    <row r="99" spans="1:3" x14ac:dyDescent="0.25">
      <c r="A99" s="2">
        <v>46307</v>
      </c>
      <c r="B99" t="s">
        <v>18</v>
      </c>
      <c r="C99" t="s">
        <v>201</v>
      </c>
    </row>
    <row r="100" spans="1:3" x14ac:dyDescent="0.25">
      <c r="A100" s="2">
        <v>46312</v>
      </c>
      <c r="B100" t="s">
        <v>15</v>
      </c>
      <c r="C100" t="s">
        <v>192</v>
      </c>
    </row>
    <row r="101" spans="1:3" x14ac:dyDescent="0.25">
      <c r="A101" s="2">
        <v>46313</v>
      </c>
      <c r="B101" t="s">
        <v>16</v>
      </c>
      <c r="C101" t="s">
        <v>17</v>
      </c>
    </row>
    <row r="102" spans="1:3" x14ac:dyDescent="0.25">
      <c r="A102" s="2">
        <v>46319</v>
      </c>
      <c r="B102" t="s">
        <v>15</v>
      </c>
      <c r="C102" t="s">
        <v>192</v>
      </c>
    </row>
    <row r="103" spans="1:3" x14ac:dyDescent="0.25">
      <c r="A103" s="2">
        <v>46320</v>
      </c>
      <c r="B103" t="s">
        <v>16</v>
      </c>
      <c r="C103" t="s">
        <v>17</v>
      </c>
    </row>
    <row r="104" spans="1:3" x14ac:dyDescent="0.25">
      <c r="A104" s="2">
        <v>46326</v>
      </c>
      <c r="B104" t="s">
        <v>15</v>
      </c>
      <c r="C104" t="s">
        <v>192</v>
      </c>
    </row>
    <row r="105" spans="1:3" x14ac:dyDescent="0.25">
      <c r="A105" s="2">
        <v>46327</v>
      </c>
      <c r="B105" t="s">
        <v>16</v>
      </c>
      <c r="C105" t="s">
        <v>17</v>
      </c>
    </row>
    <row r="106" spans="1:3" x14ac:dyDescent="0.25">
      <c r="A106" s="2">
        <v>46328</v>
      </c>
      <c r="B106" t="s">
        <v>18</v>
      </c>
      <c r="C106" t="s">
        <v>24</v>
      </c>
    </row>
    <row r="107" spans="1:3" x14ac:dyDescent="0.25">
      <c r="A107" s="2">
        <v>46333</v>
      </c>
      <c r="B107" t="s">
        <v>15</v>
      </c>
      <c r="C107" t="s">
        <v>192</v>
      </c>
    </row>
    <row r="108" spans="1:3" x14ac:dyDescent="0.25">
      <c r="A108" s="2">
        <v>46334</v>
      </c>
      <c r="B108" t="s">
        <v>16</v>
      </c>
      <c r="C108" t="s">
        <v>17</v>
      </c>
    </row>
    <row r="109" spans="1:3" x14ac:dyDescent="0.25">
      <c r="A109" s="2">
        <v>46340</v>
      </c>
      <c r="B109" t="s">
        <v>15</v>
      </c>
      <c r="C109" t="s">
        <v>192</v>
      </c>
    </row>
    <row r="110" spans="1:3" x14ac:dyDescent="0.25">
      <c r="A110" s="2">
        <v>46341</v>
      </c>
      <c r="B110" t="s">
        <v>16</v>
      </c>
      <c r="C110" t="s">
        <v>17</v>
      </c>
    </row>
    <row r="111" spans="1:3" x14ac:dyDescent="0.25">
      <c r="A111" s="2">
        <v>46342</v>
      </c>
      <c r="B111" t="s">
        <v>18</v>
      </c>
      <c r="C111" t="s">
        <v>202</v>
      </c>
    </row>
    <row r="112" spans="1:3" x14ac:dyDescent="0.25">
      <c r="A112" s="2">
        <v>46347</v>
      </c>
      <c r="B112" t="s">
        <v>15</v>
      </c>
      <c r="C112" t="s">
        <v>192</v>
      </c>
    </row>
    <row r="113" spans="1:3" x14ac:dyDescent="0.25">
      <c r="A113" s="2">
        <v>46348</v>
      </c>
      <c r="B113" t="s">
        <v>16</v>
      </c>
      <c r="C113" t="s">
        <v>17</v>
      </c>
    </row>
    <row r="114" spans="1:3" x14ac:dyDescent="0.25">
      <c r="A114" s="2">
        <v>46354</v>
      </c>
      <c r="B114" t="s">
        <v>15</v>
      </c>
      <c r="C114" t="s">
        <v>192</v>
      </c>
    </row>
    <row r="115" spans="1:3" x14ac:dyDescent="0.25">
      <c r="A115" s="2">
        <v>46355</v>
      </c>
      <c r="B115" t="s">
        <v>16</v>
      </c>
      <c r="C115" t="s">
        <v>17</v>
      </c>
    </row>
    <row r="116" spans="1:3" x14ac:dyDescent="0.25">
      <c r="A116" s="2">
        <v>46361</v>
      </c>
      <c r="B116" t="s">
        <v>15</v>
      </c>
      <c r="C116" t="s">
        <v>192</v>
      </c>
    </row>
    <row r="117" spans="1:3" x14ac:dyDescent="0.25">
      <c r="A117" s="2">
        <v>46362</v>
      </c>
      <c r="B117" t="s">
        <v>16</v>
      </c>
      <c r="C117" t="s">
        <v>17</v>
      </c>
    </row>
    <row r="118" spans="1:3" x14ac:dyDescent="0.25">
      <c r="A118" s="2">
        <v>46364</v>
      </c>
      <c r="B118" t="s">
        <v>25</v>
      </c>
      <c r="C118" t="s">
        <v>203</v>
      </c>
    </row>
    <row r="119" spans="1:3" x14ac:dyDescent="0.25">
      <c r="A119" s="2">
        <v>46368</v>
      </c>
      <c r="B119" t="s">
        <v>15</v>
      </c>
      <c r="C119" t="s">
        <v>192</v>
      </c>
    </row>
    <row r="120" spans="1:3" x14ac:dyDescent="0.25">
      <c r="A120" s="2">
        <v>46369</v>
      </c>
      <c r="B120" t="s">
        <v>16</v>
      </c>
      <c r="C120" t="s">
        <v>17</v>
      </c>
    </row>
    <row r="121" spans="1:3" x14ac:dyDescent="0.25">
      <c r="A121" s="2">
        <v>46375</v>
      </c>
      <c r="B121" t="s">
        <v>15</v>
      </c>
      <c r="C121" t="s">
        <v>192</v>
      </c>
    </row>
    <row r="122" spans="1:3" x14ac:dyDescent="0.25">
      <c r="A122" s="2">
        <v>46376</v>
      </c>
      <c r="B122" t="s">
        <v>16</v>
      </c>
      <c r="C122" t="s">
        <v>17</v>
      </c>
    </row>
    <row r="123" spans="1:3" x14ac:dyDescent="0.25">
      <c r="A123" s="2">
        <v>46381</v>
      </c>
      <c r="B123" t="s">
        <v>20</v>
      </c>
      <c r="C123" t="s">
        <v>26</v>
      </c>
    </row>
    <row r="124" spans="1:3" x14ac:dyDescent="0.25">
      <c r="A124" s="2">
        <v>46382</v>
      </c>
      <c r="B124" t="s">
        <v>15</v>
      </c>
      <c r="C124" t="s">
        <v>192</v>
      </c>
    </row>
    <row r="125" spans="1:3" x14ac:dyDescent="0.25">
      <c r="A125" s="2">
        <v>46383</v>
      </c>
      <c r="B125" t="s">
        <v>16</v>
      </c>
      <c r="C125" t="s">
        <v>17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FF0E-4254-4E09-8008-2C34C91261D8}">
  <sheetPr codeName="Hoja11">
    <tabColor rgb="FFC00000"/>
  </sheetPr>
  <dimension ref="A1:U3"/>
  <sheetViews>
    <sheetView workbookViewId="0">
      <selection activeCell="M1" sqref="M1"/>
    </sheetView>
  </sheetViews>
  <sheetFormatPr baseColWidth="10" defaultRowHeight="15" x14ac:dyDescent="0.25"/>
  <sheetData>
    <row r="1" spans="1:21" ht="15" customHeight="1" x14ac:dyDescent="0.25"/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55ADC-24B8-4E61-9853-2C7D963F6041}">
  <sheetPr codeName="Hoja12">
    <tabColor rgb="FF00B050"/>
  </sheetPr>
  <dimension ref="A1:U102"/>
  <sheetViews>
    <sheetView topLeftCell="A91" workbookViewId="0">
      <selection activeCell="I23" sqref="I23"/>
    </sheetView>
  </sheetViews>
  <sheetFormatPr baseColWidth="10" defaultRowHeight="15" x14ac:dyDescent="0.25"/>
  <cols>
    <col min="1" max="1" width="15.7109375" bestFit="1" customWidth="1"/>
    <col min="2" max="2" width="22.140625" bestFit="1" customWidth="1"/>
    <col min="3" max="3" width="49.5703125" bestFit="1" customWidth="1"/>
    <col min="4" max="4" width="15.42578125" bestFit="1" customWidth="1"/>
    <col min="5" max="6" width="18.85546875" bestFit="1" customWidth="1"/>
    <col min="7" max="7" width="20.140625" bestFit="1" customWidth="1"/>
    <col min="8" max="8" width="21.5703125" bestFit="1" customWidth="1"/>
    <col min="9" max="9" width="17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150</v>
      </c>
      <c r="B3" s="6" t="s">
        <v>151</v>
      </c>
      <c r="C3" s="6" t="s">
        <v>156</v>
      </c>
      <c r="D3" s="6" t="s">
        <v>157</v>
      </c>
      <c r="E3" s="6" t="s">
        <v>158</v>
      </c>
      <c r="F3" s="6" t="s">
        <v>159</v>
      </c>
      <c r="G3" s="6" t="s">
        <v>160</v>
      </c>
      <c r="H3" s="6" t="s">
        <v>161</v>
      </c>
      <c r="I3" s="6" t="s">
        <v>162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t="s">
        <v>53</v>
      </c>
      <c r="B4" t="s">
        <v>54</v>
      </c>
      <c r="C4" t="s">
        <v>57</v>
      </c>
      <c r="D4">
        <v>40</v>
      </c>
      <c r="E4">
        <v>241</v>
      </c>
      <c r="F4">
        <v>222</v>
      </c>
      <c r="G4">
        <v>19</v>
      </c>
      <c r="H4">
        <v>12.666666666666666</v>
      </c>
      <c r="I4" t="s">
        <v>255</v>
      </c>
    </row>
    <row r="5" spans="1:21" x14ac:dyDescent="0.25">
      <c r="A5" t="s">
        <v>53</v>
      </c>
      <c r="B5" t="s">
        <v>54</v>
      </c>
      <c r="C5" t="s">
        <v>60</v>
      </c>
      <c r="D5">
        <v>60</v>
      </c>
      <c r="E5">
        <v>241</v>
      </c>
      <c r="F5">
        <v>205</v>
      </c>
      <c r="G5">
        <v>36</v>
      </c>
      <c r="H5">
        <v>36</v>
      </c>
      <c r="I5" t="s">
        <v>255</v>
      </c>
    </row>
    <row r="6" spans="1:21" x14ac:dyDescent="0.25">
      <c r="A6" t="s">
        <v>53</v>
      </c>
      <c r="B6" t="s">
        <v>54</v>
      </c>
      <c r="C6" t="s">
        <v>132</v>
      </c>
      <c r="D6">
        <v>30</v>
      </c>
      <c r="E6">
        <v>241</v>
      </c>
      <c r="F6">
        <v>241</v>
      </c>
      <c r="G6">
        <v>0</v>
      </c>
      <c r="H6">
        <v>0</v>
      </c>
      <c r="I6" t="s">
        <v>256</v>
      </c>
    </row>
    <row r="7" spans="1:21" x14ac:dyDescent="0.25">
      <c r="A7" t="s">
        <v>53</v>
      </c>
      <c r="B7" t="s">
        <v>54</v>
      </c>
      <c r="C7" t="s">
        <v>257</v>
      </c>
      <c r="D7">
        <v>90</v>
      </c>
      <c r="E7">
        <v>241</v>
      </c>
      <c r="F7">
        <v>241</v>
      </c>
      <c r="G7">
        <v>0</v>
      </c>
      <c r="H7">
        <v>0</v>
      </c>
      <c r="I7" t="s">
        <v>256</v>
      </c>
    </row>
    <row r="8" spans="1:21" x14ac:dyDescent="0.25">
      <c r="A8" t="s">
        <v>53</v>
      </c>
      <c r="B8" t="s">
        <v>54</v>
      </c>
      <c r="C8" t="s">
        <v>65</v>
      </c>
      <c r="D8">
        <v>120</v>
      </c>
      <c r="E8">
        <v>241</v>
      </c>
      <c r="F8">
        <v>241</v>
      </c>
      <c r="G8">
        <v>0</v>
      </c>
      <c r="H8">
        <v>0</v>
      </c>
      <c r="I8" t="s">
        <v>256</v>
      </c>
    </row>
    <row r="9" spans="1:21" x14ac:dyDescent="0.25">
      <c r="A9" t="s">
        <v>53</v>
      </c>
      <c r="B9" t="s">
        <v>54</v>
      </c>
      <c r="C9" t="s">
        <v>67</v>
      </c>
      <c r="D9">
        <v>40</v>
      </c>
      <c r="E9">
        <v>241</v>
      </c>
      <c r="F9">
        <v>150</v>
      </c>
      <c r="G9">
        <v>91</v>
      </c>
      <c r="H9">
        <v>60.666666666666664</v>
      </c>
      <c r="I9" t="s">
        <v>255</v>
      </c>
    </row>
    <row r="10" spans="1:21" x14ac:dyDescent="0.25">
      <c r="A10" t="s">
        <v>53</v>
      </c>
      <c r="B10" t="s">
        <v>54</v>
      </c>
      <c r="C10" t="s">
        <v>69</v>
      </c>
      <c r="D10">
        <v>150</v>
      </c>
      <c r="E10">
        <v>241</v>
      </c>
      <c r="F10">
        <v>0</v>
      </c>
      <c r="G10">
        <v>241</v>
      </c>
      <c r="H10">
        <v>602.5</v>
      </c>
      <c r="I10" t="s">
        <v>118</v>
      </c>
    </row>
    <row r="11" spans="1:21" x14ac:dyDescent="0.25">
      <c r="A11" t="s">
        <v>53</v>
      </c>
      <c r="B11" t="s">
        <v>54</v>
      </c>
      <c r="C11" t="s">
        <v>71</v>
      </c>
      <c r="D11">
        <v>40</v>
      </c>
      <c r="E11">
        <v>241</v>
      </c>
      <c r="F11">
        <v>206</v>
      </c>
      <c r="G11">
        <v>35</v>
      </c>
      <c r="H11">
        <v>23.333333333333332</v>
      </c>
      <c r="I11" t="s">
        <v>255</v>
      </c>
    </row>
    <row r="12" spans="1:21" x14ac:dyDescent="0.25">
      <c r="A12" t="s">
        <v>53</v>
      </c>
      <c r="B12" t="s">
        <v>54</v>
      </c>
      <c r="C12" t="s">
        <v>73</v>
      </c>
      <c r="D12">
        <v>40</v>
      </c>
      <c r="E12">
        <v>241</v>
      </c>
      <c r="F12">
        <v>186</v>
      </c>
      <c r="G12">
        <v>55</v>
      </c>
      <c r="H12">
        <v>36.666666666666664</v>
      </c>
      <c r="I12" t="s">
        <v>255</v>
      </c>
    </row>
    <row r="13" spans="1:21" x14ac:dyDescent="0.25">
      <c r="A13" t="s">
        <v>53</v>
      </c>
      <c r="B13" t="s">
        <v>54</v>
      </c>
      <c r="C13" t="s">
        <v>74</v>
      </c>
      <c r="D13">
        <v>30</v>
      </c>
      <c r="E13">
        <v>241</v>
      </c>
      <c r="F13">
        <v>205</v>
      </c>
      <c r="G13">
        <v>36</v>
      </c>
      <c r="H13">
        <v>18</v>
      </c>
      <c r="I13" t="s">
        <v>255</v>
      </c>
    </row>
    <row r="14" spans="1:21" x14ac:dyDescent="0.25">
      <c r="A14" t="s">
        <v>53</v>
      </c>
      <c r="B14" t="s">
        <v>54</v>
      </c>
      <c r="C14" t="s">
        <v>76</v>
      </c>
      <c r="D14">
        <v>180</v>
      </c>
      <c r="E14">
        <v>241</v>
      </c>
      <c r="F14">
        <v>205</v>
      </c>
      <c r="G14">
        <v>36</v>
      </c>
      <c r="H14">
        <v>108</v>
      </c>
      <c r="I14" t="s">
        <v>255</v>
      </c>
    </row>
    <row r="15" spans="1:21" x14ac:dyDescent="0.25">
      <c r="A15" t="s">
        <v>53</v>
      </c>
      <c r="B15" t="s">
        <v>54</v>
      </c>
      <c r="C15" t="s">
        <v>78</v>
      </c>
      <c r="D15">
        <v>35</v>
      </c>
      <c r="E15">
        <v>241</v>
      </c>
      <c r="F15">
        <v>169</v>
      </c>
      <c r="G15">
        <v>72</v>
      </c>
      <c r="H15">
        <v>42</v>
      </c>
      <c r="I15" t="s">
        <v>255</v>
      </c>
    </row>
    <row r="16" spans="1:21" x14ac:dyDescent="0.25">
      <c r="D16">
        <v>0</v>
      </c>
      <c r="E16">
        <v>0</v>
      </c>
      <c r="F16">
        <v>0</v>
      </c>
      <c r="G16">
        <v>0</v>
      </c>
      <c r="H16">
        <v>0</v>
      </c>
      <c r="I16" t="s">
        <v>258</v>
      </c>
    </row>
    <row r="17" spans="1:9" x14ac:dyDescent="0.25">
      <c r="A17" t="s">
        <v>403</v>
      </c>
      <c r="B17" t="s">
        <v>120</v>
      </c>
      <c r="C17" t="s">
        <v>127</v>
      </c>
      <c r="D17">
        <v>65</v>
      </c>
      <c r="E17">
        <v>454</v>
      </c>
      <c r="F17">
        <v>454</v>
      </c>
      <c r="G17">
        <v>0</v>
      </c>
      <c r="H17">
        <v>0</v>
      </c>
      <c r="I17" t="s">
        <v>256</v>
      </c>
    </row>
    <row r="18" spans="1:9" x14ac:dyDescent="0.25">
      <c r="A18" t="s">
        <v>403</v>
      </c>
      <c r="B18" t="s">
        <v>120</v>
      </c>
      <c r="C18" t="s">
        <v>129</v>
      </c>
      <c r="D18">
        <v>40</v>
      </c>
      <c r="E18">
        <v>454</v>
      </c>
      <c r="F18">
        <v>454</v>
      </c>
      <c r="G18">
        <v>0</v>
      </c>
      <c r="H18">
        <v>0</v>
      </c>
      <c r="I18" t="s">
        <v>256</v>
      </c>
    </row>
    <row r="19" spans="1:9" x14ac:dyDescent="0.25">
      <c r="A19" t="s">
        <v>403</v>
      </c>
      <c r="B19" t="s">
        <v>120</v>
      </c>
      <c r="C19" t="s">
        <v>131</v>
      </c>
      <c r="D19">
        <v>45</v>
      </c>
      <c r="E19">
        <v>454</v>
      </c>
      <c r="F19">
        <v>454</v>
      </c>
      <c r="G19">
        <v>0</v>
      </c>
      <c r="H19">
        <v>0</v>
      </c>
      <c r="I19" t="s">
        <v>256</v>
      </c>
    </row>
    <row r="20" spans="1:9" x14ac:dyDescent="0.25">
      <c r="A20" t="s">
        <v>403</v>
      </c>
      <c r="B20" t="s">
        <v>120</v>
      </c>
      <c r="C20" t="s">
        <v>133</v>
      </c>
      <c r="D20">
        <v>30</v>
      </c>
      <c r="E20">
        <v>454</v>
      </c>
      <c r="F20">
        <v>454</v>
      </c>
      <c r="G20">
        <v>0</v>
      </c>
      <c r="H20">
        <v>0</v>
      </c>
      <c r="I20" t="s">
        <v>256</v>
      </c>
    </row>
    <row r="21" spans="1:9" x14ac:dyDescent="0.25">
      <c r="A21" t="s">
        <v>403</v>
      </c>
      <c r="B21" t="s">
        <v>120</v>
      </c>
      <c r="C21" t="s">
        <v>135</v>
      </c>
      <c r="D21">
        <v>150</v>
      </c>
      <c r="E21">
        <v>454</v>
      </c>
      <c r="F21">
        <v>484</v>
      </c>
      <c r="G21">
        <v>0</v>
      </c>
      <c r="H21">
        <v>0</v>
      </c>
      <c r="I21" t="s">
        <v>256</v>
      </c>
    </row>
    <row r="22" spans="1:9" x14ac:dyDescent="0.25">
      <c r="A22" t="s">
        <v>403</v>
      </c>
      <c r="B22" t="s">
        <v>120</v>
      </c>
      <c r="C22" t="s">
        <v>137</v>
      </c>
      <c r="D22">
        <v>80</v>
      </c>
      <c r="E22">
        <v>454</v>
      </c>
      <c r="F22">
        <v>454</v>
      </c>
      <c r="G22">
        <v>0</v>
      </c>
      <c r="H22">
        <v>0</v>
      </c>
      <c r="I22" t="s">
        <v>256</v>
      </c>
    </row>
    <row r="23" spans="1:9" x14ac:dyDescent="0.25">
      <c r="A23" t="s">
        <v>403</v>
      </c>
      <c r="B23" t="s">
        <v>120</v>
      </c>
      <c r="C23" t="s">
        <v>139</v>
      </c>
      <c r="D23">
        <v>60</v>
      </c>
      <c r="E23">
        <v>454</v>
      </c>
      <c r="F23">
        <v>439</v>
      </c>
      <c r="G23">
        <v>15</v>
      </c>
      <c r="H23">
        <v>15</v>
      </c>
      <c r="I23" t="s">
        <v>255</v>
      </c>
    </row>
    <row r="24" spans="1:9" x14ac:dyDescent="0.25">
      <c r="A24" t="s">
        <v>403</v>
      </c>
      <c r="B24" t="s">
        <v>120</v>
      </c>
      <c r="C24" t="s">
        <v>141</v>
      </c>
      <c r="D24">
        <v>80</v>
      </c>
      <c r="E24">
        <v>454</v>
      </c>
      <c r="F24">
        <v>454</v>
      </c>
      <c r="G24">
        <v>0</v>
      </c>
      <c r="H24">
        <v>0</v>
      </c>
      <c r="I24" t="s">
        <v>256</v>
      </c>
    </row>
    <row r="25" spans="1:9" x14ac:dyDescent="0.25">
      <c r="A25" t="s">
        <v>403</v>
      </c>
      <c r="B25" t="s">
        <v>120</v>
      </c>
      <c r="C25" t="s">
        <v>143</v>
      </c>
      <c r="D25">
        <v>40</v>
      </c>
      <c r="E25">
        <v>454</v>
      </c>
      <c r="F25">
        <v>484</v>
      </c>
      <c r="G25">
        <v>0</v>
      </c>
      <c r="H25">
        <v>0</v>
      </c>
      <c r="I25" t="s">
        <v>256</v>
      </c>
    </row>
    <row r="26" spans="1:9" x14ac:dyDescent="0.25">
      <c r="A26" t="s">
        <v>403</v>
      </c>
      <c r="B26" t="s">
        <v>120</v>
      </c>
      <c r="C26" t="s">
        <v>145</v>
      </c>
      <c r="D26">
        <v>60</v>
      </c>
      <c r="E26">
        <v>454</v>
      </c>
      <c r="F26">
        <v>454</v>
      </c>
      <c r="G26">
        <v>0</v>
      </c>
      <c r="H26">
        <v>0</v>
      </c>
      <c r="I26" t="s">
        <v>256</v>
      </c>
    </row>
    <row r="27" spans="1:9" x14ac:dyDescent="0.25">
      <c r="A27" t="s">
        <v>403</v>
      </c>
      <c r="B27" t="s">
        <v>120</v>
      </c>
      <c r="C27" t="s">
        <v>147</v>
      </c>
      <c r="D27">
        <v>60</v>
      </c>
      <c r="E27">
        <v>454</v>
      </c>
      <c r="F27">
        <v>454</v>
      </c>
      <c r="G27">
        <v>0</v>
      </c>
      <c r="H27">
        <v>0</v>
      </c>
      <c r="I27" t="s">
        <v>256</v>
      </c>
    </row>
    <row r="28" spans="1:9" x14ac:dyDescent="0.25">
      <c r="A28" t="s">
        <v>403</v>
      </c>
      <c r="B28" t="s">
        <v>120</v>
      </c>
      <c r="C28" t="s">
        <v>149</v>
      </c>
      <c r="D28">
        <v>40</v>
      </c>
      <c r="E28">
        <v>454</v>
      </c>
      <c r="F28">
        <v>394</v>
      </c>
      <c r="G28">
        <v>60</v>
      </c>
      <c r="H28">
        <v>40</v>
      </c>
      <c r="I28" t="s">
        <v>255</v>
      </c>
    </row>
    <row r="29" spans="1:9" x14ac:dyDescent="0.25">
      <c r="A29" t="s">
        <v>403</v>
      </c>
      <c r="B29" t="s">
        <v>120</v>
      </c>
      <c r="C29" t="s">
        <v>213</v>
      </c>
      <c r="D29">
        <v>30</v>
      </c>
      <c r="E29">
        <v>454</v>
      </c>
      <c r="F29">
        <v>347</v>
      </c>
      <c r="G29">
        <v>107</v>
      </c>
      <c r="H29">
        <v>53.5</v>
      </c>
      <c r="I29" t="s">
        <v>255</v>
      </c>
    </row>
    <row r="30" spans="1:9" x14ac:dyDescent="0.25">
      <c r="D30">
        <v>0</v>
      </c>
      <c r="E30">
        <v>0</v>
      </c>
      <c r="F30">
        <v>0</v>
      </c>
      <c r="G30">
        <v>0</v>
      </c>
      <c r="H30">
        <v>0</v>
      </c>
      <c r="I30" t="s">
        <v>258</v>
      </c>
    </row>
    <row r="31" spans="1:9" x14ac:dyDescent="0.25">
      <c r="A31" t="s">
        <v>217</v>
      </c>
      <c r="B31" t="s">
        <v>218</v>
      </c>
      <c r="C31" t="s">
        <v>57</v>
      </c>
      <c r="D31">
        <v>40</v>
      </c>
      <c r="E31">
        <v>518</v>
      </c>
      <c r="F31">
        <v>518</v>
      </c>
      <c r="G31">
        <v>0</v>
      </c>
      <c r="H31">
        <v>0</v>
      </c>
      <c r="I31" t="s">
        <v>256</v>
      </c>
    </row>
    <row r="32" spans="1:9" x14ac:dyDescent="0.25">
      <c r="A32" t="s">
        <v>217</v>
      </c>
      <c r="B32" t="s">
        <v>218</v>
      </c>
      <c r="C32" t="s">
        <v>220</v>
      </c>
      <c r="D32">
        <v>40</v>
      </c>
      <c r="E32">
        <v>518</v>
      </c>
      <c r="F32">
        <v>518</v>
      </c>
      <c r="G32">
        <v>0</v>
      </c>
      <c r="H32">
        <v>0</v>
      </c>
      <c r="I32" t="s">
        <v>256</v>
      </c>
    </row>
    <row r="33" spans="1:9" x14ac:dyDescent="0.25">
      <c r="A33" t="s">
        <v>217</v>
      </c>
      <c r="B33" t="s">
        <v>218</v>
      </c>
      <c r="C33" t="s">
        <v>221</v>
      </c>
      <c r="D33">
        <v>30</v>
      </c>
      <c r="E33">
        <v>518</v>
      </c>
      <c r="F33">
        <v>518</v>
      </c>
      <c r="G33">
        <v>0</v>
      </c>
      <c r="H33">
        <v>0</v>
      </c>
      <c r="I33" t="s">
        <v>256</v>
      </c>
    </row>
    <row r="34" spans="1:9" x14ac:dyDescent="0.25">
      <c r="A34" t="s">
        <v>217</v>
      </c>
      <c r="B34" t="s">
        <v>218</v>
      </c>
      <c r="C34" t="s">
        <v>222</v>
      </c>
      <c r="D34">
        <v>30</v>
      </c>
      <c r="E34">
        <v>518</v>
      </c>
      <c r="F34">
        <v>518</v>
      </c>
      <c r="G34">
        <v>0</v>
      </c>
      <c r="H34">
        <v>0</v>
      </c>
      <c r="I34" t="s">
        <v>256</v>
      </c>
    </row>
    <row r="35" spans="1:9" x14ac:dyDescent="0.25">
      <c r="A35" t="s">
        <v>217</v>
      </c>
      <c r="B35" t="s">
        <v>218</v>
      </c>
      <c r="C35" t="s">
        <v>132</v>
      </c>
      <c r="D35">
        <v>40</v>
      </c>
      <c r="E35">
        <v>518</v>
      </c>
      <c r="F35">
        <v>518</v>
      </c>
      <c r="G35">
        <v>0</v>
      </c>
      <c r="H35">
        <v>0</v>
      </c>
      <c r="I35" t="s">
        <v>256</v>
      </c>
    </row>
    <row r="36" spans="1:9" x14ac:dyDescent="0.25">
      <c r="A36" t="s">
        <v>217</v>
      </c>
      <c r="B36" t="s">
        <v>218</v>
      </c>
      <c r="C36" t="s">
        <v>223</v>
      </c>
      <c r="D36">
        <v>90</v>
      </c>
      <c r="E36">
        <v>518</v>
      </c>
      <c r="F36">
        <v>518</v>
      </c>
      <c r="G36">
        <v>0</v>
      </c>
      <c r="H36">
        <v>0</v>
      </c>
      <c r="I36" t="s">
        <v>256</v>
      </c>
    </row>
    <row r="37" spans="1:9" x14ac:dyDescent="0.25">
      <c r="A37" t="s">
        <v>217</v>
      </c>
      <c r="B37" t="s">
        <v>218</v>
      </c>
      <c r="C37" t="s">
        <v>225</v>
      </c>
      <c r="D37">
        <v>120</v>
      </c>
      <c r="E37">
        <v>518</v>
      </c>
      <c r="F37">
        <v>518</v>
      </c>
      <c r="G37">
        <v>0</v>
      </c>
      <c r="H37">
        <v>0</v>
      </c>
      <c r="I37" t="s">
        <v>256</v>
      </c>
    </row>
    <row r="38" spans="1:9" x14ac:dyDescent="0.25">
      <c r="A38" t="s">
        <v>217</v>
      </c>
      <c r="B38" t="s">
        <v>218</v>
      </c>
      <c r="C38" t="s">
        <v>226</v>
      </c>
      <c r="D38">
        <v>90</v>
      </c>
      <c r="E38">
        <v>518</v>
      </c>
      <c r="F38">
        <v>518</v>
      </c>
      <c r="G38">
        <v>0</v>
      </c>
      <c r="H38">
        <v>0</v>
      </c>
      <c r="I38" t="s">
        <v>256</v>
      </c>
    </row>
    <row r="39" spans="1:9" x14ac:dyDescent="0.25">
      <c r="A39" t="s">
        <v>217</v>
      </c>
      <c r="B39" t="s">
        <v>218</v>
      </c>
      <c r="C39" t="s">
        <v>228</v>
      </c>
      <c r="D39">
        <v>45</v>
      </c>
      <c r="E39">
        <v>518</v>
      </c>
      <c r="F39">
        <v>518</v>
      </c>
      <c r="G39">
        <v>0</v>
      </c>
      <c r="H39">
        <v>0</v>
      </c>
      <c r="I39" t="s">
        <v>256</v>
      </c>
    </row>
    <row r="40" spans="1:9" x14ac:dyDescent="0.25">
      <c r="A40" t="s">
        <v>217</v>
      </c>
      <c r="B40" t="s">
        <v>218</v>
      </c>
      <c r="C40" t="s">
        <v>230</v>
      </c>
      <c r="D40">
        <v>45</v>
      </c>
      <c r="E40">
        <v>518</v>
      </c>
      <c r="F40">
        <v>518</v>
      </c>
      <c r="G40">
        <v>0</v>
      </c>
      <c r="H40">
        <v>0</v>
      </c>
      <c r="I40" t="s">
        <v>256</v>
      </c>
    </row>
    <row r="41" spans="1:9" x14ac:dyDescent="0.25">
      <c r="A41" t="s">
        <v>217</v>
      </c>
      <c r="B41" t="s">
        <v>218</v>
      </c>
      <c r="C41" t="s">
        <v>232</v>
      </c>
      <c r="D41">
        <v>180</v>
      </c>
      <c r="E41">
        <v>518</v>
      </c>
      <c r="F41">
        <v>518</v>
      </c>
      <c r="G41">
        <v>0</v>
      </c>
      <c r="H41">
        <v>0</v>
      </c>
      <c r="I41" t="s">
        <v>256</v>
      </c>
    </row>
    <row r="42" spans="1:9" x14ac:dyDescent="0.25">
      <c r="A42" t="s">
        <v>217</v>
      </c>
      <c r="B42" t="s">
        <v>218</v>
      </c>
      <c r="C42" t="s">
        <v>233</v>
      </c>
      <c r="D42">
        <v>30</v>
      </c>
      <c r="E42">
        <v>518</v>
      </c>
      <c r="F42">
        <v>518</v>
      </c>
      <c r="G42">
        <v>0</v>
      </c>
      <c r="H42">
        <v>0</v>
      </c>
      <c r="I42" t="s">
        <v>256</v>
      </c>
    </row>
    <row r="43" spans="1:9" x14ac:dyDescent="0.25">
      <c r="D43">
        <v>0</v>
      </c>
      <c r="E43">
        <v>0</v>
      </c>
      <c r="F43">
        <v>0</v>
      </c>
      <c r="G43">
        <v>0</v>
      </c>
      <c r="H43">
        <v>0</v>
      </c>
      <c r="I43" t="s">
        <v>258</v>
      </c>
    </row>
    <row r="44" spans="1:9" x14ac:dyDescent="0.25">
      <c r="A44" t="s">
        <v>404</v>
      </c>
      <c r="B44" t="s">
        <v>261</v>
      </c>
      <c r="C44" t="s">
        <v>57</v>
      </c>
      <c r="D44">
        <v>45</v>
      </c>
      <c r="E44">
        <v>47</v>
      </c>
      <c r="F44">
        <v>47</v>
      </c>
      <c r="G44">
        <v>0</v>
      </c>
      <c r="H44">
        <v>0</v>
      </c>
      <c r="I44" t="s">
        <v>256</v>
      </c>
    </row>
    <row r="45" spans="1:9" x14ac:dyDescent="0.25">
      <c r="A45" t="s">
        <v>404</v>
      </c>
      <c r="B45" t="s">
        <v>261</v>
      </c>
      <c r="C45" t="s">
        <v>60</v>
      </c>
      <c r="D45">
        <v>65</v>
      </c>
      <c r="E45">
        <v>47</v>
      </c>
      <c r="F45">
        <v>47</v>
      </c>
      <c r="G45">
        <v>0</v>
      </c>
      <c r="H45">
        <v>0</v>
      </c>
      <c r="I45" t="s">
        <v>256</v>
      </c>
    </row>
    <row r="46" spans="1:9" x14ac:dyDescent="0.25">
      <c r="A46" t="s">
        <v>404</v>
      </c>
      <c r="B46" t="s">
        <v>261</v>
      </c>
      <c r="C46" t="s">
        <v>132</v>
      </c>
      <c r="D46">
        <v>45</v>
      </c>
      <c r="E46">
        <v>47</v>
      </c>
      <c r="F46">
        <v>47</v>
      </c>
      <c r="G46">
        <v>0</v>
      </c>
      <c r="H46">
        <v>0</v>
      </c>
      <c r="I46" t="s">
        <v>256</v>
      </c>
    </row>
    <row r="47" spans="1:9" x14ac:dyDescent="0.25">
      <c r="A47" t="s">
        <v>404</v>
      </c>
      <c r="B47" t="s">
        <v>261</v>
      </c>
      <c r="C47" t="s">
        <v>67</v>
      </c>
      <c r="D47">
        <v>40</v>
      </c>
      <c r="E47">
        <v>47</v>
      </c>
      <c r="F47">
        <v>47</v>
      </c>
      <c r="G47">
        <v>0</v>
      </c>
      <c r="H47">
        <v>0</v>
      </c>
      <c r="I47" t="s">
        <v>256</v>
      </c>
    </row>
    <row r="48" spans="1:9" x14ac:dyDescent="0.25">
      <c r="A48" t="s">
        <v>404</v>
      </c>
      <c r="B48" t="s">
        <v>261</v>
      </c>
      <c r="C48" t="s">
        <v>266</v>
      </c>
      <c r="D48">
        <v>150</v>
      </c>
      <c r="E48">
        <v>47</v>
      </c>
      <c r="F48">
        <v>47</v>
      </c>
      <c r="G48">
        <v>0</v>
      </c>
      <c r="H48">
        <v>0</v>
      </c>
      <c r="I48" t="s">
        <v>256</v>
      </c>
    </row>
    <row r="49" spans="1:9" x14ac:dyDescent="0.25">
      <c r="A49" t="s">
        <v>404</v>
      </c>
      <c r="B49" t="s">
        <v>261</v>
      </c>
      <c r="C49" t="s">
        <v>257</v>
      </c>
      <c r="D49">
        <v>90</v>
      </c>
      <c r="E49">
        <v>47</v>
      </c>
      <c r="F49">
        <v>47</v>
      </c>
      <c r="G49">
        <v>0</v>
      </c>
      <c r="H49">
        <v>0</v>
      </c>
      <c r="I49" t="s">
        <v>256</v>
      </c>
    </row>
    <row r="50" spans="1:9" x14ac:dyDescent="0.25">
      <c r="A50" t="s">
        <v>404</v>
      </c>
      <c r="B50" t="s">
        <v>261</v>
      </c>
      <c r="C50" t="s">
        <v>267</v>
      </c>
      <c r="D50">
        <v>120</v>
      </c>
      <c r="E50">
        <v>47</v>
      </c>
      <c r="F50">
        <v>47</v>
      </c>
      <c r="G50">
        <v>0</v>
      </c>
      <c r="H50">
        <v>0</v>
      </c>
      <c r="I50" t="s">
        <v>256</v>
      </c>
    </row>
    <row r="51" spans="1:9" x14ac:dyDescent="0.25">
      <c r="A51" t="s">
        <v>404</v>
      </c>
      <c r="B51" t="s">
        <v>261</v>
      </c>
      <c r="C51" t="s">
        <v>268</v>
      </c>
      <c r="D51">
        <v>45</v>
      </c>
      <c r="E51">
        <v>47</v>
      </c>
      <c r="F51">
        <v>47</v>
      </c>
      <c r="G51">
        <v>0</v>
      </c>
      <c r="H51">
        <v>0</v>
      </c>
      <c r="I51" t="s">
        <v>256</v>
      </c>
    </row>
    <row r="52" spans="1:9" x14ac:dyDescent="0.25">
      <c r="A52" t="s">
        <v>404</v>
      </c>
      <c r="B52" t="s">
        <v>261</v>
      </c>
      <c r="C52" t="s">
        <v>270</v>
      </c>
      <c r="D52">
        <v>35</v>
      </c>
      <c r="E52">
        <v>47</v>
      </c>
      <c r="F52">
        <v>47</v>
      </c>
      <c r="G52">
        <v>0</v>
      </c>
      <c r="H52">
        <v>0</v>
      </c>
      <c r="I52" t="s">
        <v>256</v>
      </c>
    </row>
    <row r="53" spans="1:9" x14ac:dyDescent="0.25">
      <c r="A53" t="s">
        <v>404</v>
      </c>
      <c r="B53" t="s">
        <v>261</v>
      </c>
      <c r="C53" t="s">
        <v>271</v>
      </c>
      <c r="D53">
        <v>180</v>
      </c>
      <c r="E53">
        <v>47</v>
      </c>
      <c r="F53">
        <v>47</v>
      </c>
      <c r="G53">
        <v>0</v>
      </c>
      <c r="H53">
        <v>0</v>
      </c>
      <c r="I53" t="s">
        <v>256</v>
      </c>
    </row>
    <row r="54" spans="1:9" x14ac:dyDescent="0.25">
      <c r="D54">
        <v>0</v>
      </c>
      <c r="E54">
        <v>0</v>
      </c>
      <c r="F54">
        <v>0</v>
      </c>
      <c r="G54">
        <v>0</v>
      </c>
      <c r="H54">
        <v>0</v>
      </c>
      <c r="I54" t="s">
        <v>258</v>
      </c>
    </row>
    <row r="55" spans="1:9" x14ac:dyDescent="0.25">
      <c r="A55" t="s">
        <v>326</v>
      </c>
      <c r="B55" t="s">
        <v>272</v>
      </c>
      <c r="C55" t="s">
        <v>280</v>
      </c>
      <c r="D55">
        <v>45</v>
      </c>
      <c r="E55">
        <v>289</v>
      </c>
      <c r="F55">
        <v>289</v>
      </c>
      <c r="G55">
        <v>0</v>
      </c>
      <c r="H55">
        <v>0</v>
      </c>
      <c r="I55" t="s">
        <v>256</v>
      </c>
    </row>
    <row r="56" spans="1:9" x14ac:dyDescent="0.25">
      <c r="A56" t="s">
        <v>326</v>
      </c>
      <c r="B56" t="s">
        <v>272</v>
      </c>
      <c r="C56" t="s">
        <v>282</v>
      </c>
      <c r="D56">
        <v>45</v>
      </c>
      <c r="E56">
        <v>289</v>
      </c>
      <c r="F56">
        <v>289</v>
      </c>
      <c r="G56">
        <v>0</v>
      </c>
      <c r="H56">
        <v>0</v>
      </c>
      <c r="I56" t="s">
        <v>256</v>
      </c>
    </row>
    <row r="57" spans="1:9" x14ac:dyDescent="0.25">
      <c r="A57" t="s">
        <v>326</v>
      </c>
      <c r="B57" t="s">
        <v>272</v>
      </c>
      <c r="C57" t="s">
        <v>284</v>
      </c>
      <c r="D57">
        <v>30</v>
      </c>
      <c r="E57">
        <v>289</v>
      </c>
      <c r="F57">
        <v>289</v>
      </c>
      <c r="G57">
        <v>0</v>
      </c>
      <c r="H57">
        <v>0</v>
      </c>
      <c r="I57" t="s">
        <v>256</v>
      </c>
    </row>
    <row r="58" spans="1:9" x14ac:dyDescent="0.25">
      <c r="A58" t="s">
        <v>326</v>
      </c>
      <c r="B58" t="s">
        <v>272</v>
      </c>
      <c r="C58" t="s">
        <v>286</v>
      </c>
      <c r="D58">
        <v>30</v>
      </c>
      <c r="E58">
        <v>289</v>
      </c>
      <c r="F58">
        <v>289</v>
      </c>
      <c r="G58">
        <v>0</v>
      </c>
      <c r="H58">
        <v>0</v>
      </c>
      <c r="I58" t="s">
        <v>256</v>
      </c>
    </row>
    <row r="59" spans="1:9" x14ac:dyDescent="0.25">
      <c r="A59" t="s">
        <v>326</v>
      </c>
      <c r="B59" t="s">
        <v>272</v>
      </c>
      <c r="C59" t="s">
        <v>67</v>
      </c>
      <c r="D59">
        <v>30</v>
      </c>
      <c r="E59">
        <v>289</v>
      </c>
      <c r="F59">
        <v>289</v>
      </c>
      <c r="G59">
        <v>0</v>
      </c>
      <c r="H59">
        <v>0</v>
      </c>
      <c r="I59" t="s">
        <v>256</v>
      </c>
    </row>
    <row r="60" spans="1:9" x14ac:dyDescent="0.25">
      <c r="A60" t="s">
        <v>326</v>
      </c>
      <c r="B60" t="s">
        <v>272</v>
      </c>
      <c r="C60" t="s">
        <v>288</v>
      </c>
      <c r="D60">
        <v>90</v>
      </c>
      <c r="E60">
        <v>289</v>
      </c>
      <c r="F60">
        <v>289</v>
      </c>
      <c r="G60">
        <v>0</v>
      </c>
      <c r="H60">
        <v>0</v>
      </c>
      <c r="I60" t="s">
        <v>256</v>
      </c>
    </row>
    <row r="61" spans="1:9" x14ac:dyDescent="0.25">
      <c r="A61" t="s">
        <v>326</v>
      </c>
      <c r="B61" t="s">
        <v>272</v>
      </c>
      <c r="C61" t="s">
        <v>290</v>
      </c>
      <c r="D61">
        <v>120</v>
      </c>
      <c r="E61">
        <v>289</v>
      </c>
      <c r="F61">
        <v>289</v>
      </c>
      <c r="G61">
        <v>0</v>
      </c>
      <c r="H61">
        <v>0</v>
      </c>
      <c r="I61" t="s">
        <v>256</v>
      </c>
    </row>
    <row r="62" spans="1:9" x14ac:dyDescent="0.25">
      <c r="A62" t="s">
        <v>326</v>
      </c>
      <c r="B62" t="s">
        <v>272</v>
      </c>
      <c r="C62" t="s">
        <v>291</v>
      </c>
      <c r="D62">
        <v>90</v>
      </c>
      <c r="E62">
        <v>289</v>
      </c>
      <c r="F62">
        <v>289</v>
      </c>
      <c r="G62">
        <v>0</v>
      </c>
      <c r="H62">
        <v>0</v>
      </c>
      <c r="I62" t="s">
        <v>256</v>
      </c>
    </row>
    <row r="63" spans="1:9" x14ac:dyDescent="0.25">
      <c r="A63" t="s">
        <v>326</v>
      </c>
      <c r="B63" t="s">
        <v>272</v>
      </c>
      <c r="C63" t="s">
        <v>293</v>
      </c>
      <c r="D63">
        <v>180</v>
      </c>
      <c r="E63">
        <v>289</v>
      </c>
      <c r="F63">
        <v>289</v>
      </c>
      <c r="G63">
        <v>0</v>
      </c>
      <c r="H63">
        <v>0</v>
      </c>
      <c r="I63" t="s">
        <v>256</v>
      </c>
    </row>
    <row r="64" spans="1:9" x14ac:dyDescent="0.25">
      <c r="A64" t="s">
        <v>326</v>
      </c>
      <c r="B64" t="s">
        <v>272</v>
      </c>
      <c r="C64" t="s">
        <v>295</v>
      </c>
      <c r="D64">
        <v>30</v>
      </c>
      <c r="E64">
        <v>289</v>
      </c>
      <c r="F64">
        <v>289</v>
      </c>
      <c r="G64">
        <v>0</v>
      </c>
      <c r="H64">
        <v>0</v>
      </c>
      <c r="I64" t="s">
        <v>256</v>
      </c>
    </row>
    <row r="65" spans="1:9" x14ac:dyDescent="0.25">
      <c r="A65" t="s">
        <v>326</v>
      </c>
      <c r="B65" t="s">
        <v>272</v>
      </c>
      <c r="C65" t="s">
        <v>144</v>
      </c>
      <c r="D65">
        <v>40</v>
      </c>
      <c r="E65">
        <v>289</v>
      </c>
      <c r="F65">
        <v>289</v>
      </c>
      <c r="G65">
        <v>0</v>
      </c>
      <c r="H65">
        <v>0</v>
      </c>
      <c r="I65" t="s">
        <v>256</v>
      </c>
    </row>
    <row r="66" spans="1:9" x14ac:dyDescent="0.25">
      <c r="A66" t="s">
        <v>298</v>
      </c>
      <c r="B66" t="s">
        <v>299</v>
      </c>
      <c r="C66" t="s">
        <v>57</v>
      </c>
      <c r="D66">
        <v>45</v>
      </c>
      <c r="E66">
        <v>120</v>
      </c>
      <c r="F66">
        <v>120</v>
      </c>
      <c r="G66">
        <v>0</v>
      </c>
      <c r="H66">
        <v>0</v>
      </c>
      <c r="I66" t="s">
        <v>256</v>
      </c>
    </row>
    <row r="67" spans="1:9" x14ac:dyDescent="0.25">
      <c r="A67" t="s">
        <v>298</v>
      </c>
      <c r="B67" t="s">
        <v>299</v>
      </c>
      <c r="C67" t="s">
        <v>311</v>
      </c>
      <c r="D67">
        <v>60</v>
      </c>
      <c r="E67">
        <v>120</v>
      </c>
      <c r="F67">
        <v>120</v>
      </c>
      <c r="G67">
        <v>0</v>
      </c>
      <c r="H67">
        <v>0</v>
      </c>
      <c r="I67" t="s">
        <v>256</v>
      </c>
    </row>
    <row r="68" spans="1:9" x14ac:dyDescent="0.25">
      <c r="A68" t="s">
        <v>298</v>
      </c>
      <c r="B68" t="s">
        <v>299</v>
      </c>
      <c r="C68" t="s">
        <v>312</v>
      </c>
      <c r="D68">
        <v>45</v>
      </c>
      <c r="E68">
        <v>120</v>
      </c>
      <c r="F68">
        <v>120</v>
      </c>
      <c r="G68">
        <v>0</v>
      </c>
      <c r="H68">
        <v>0</v>
      </c>
      <c r="I68" t="s">
        <v>256</v>
      </c>
    </row>
    <row r="69" spans="1:9" x14ac:dyDescent="0.25">
      <c r="A69" t="s">
        <v>298</v>
      </c>
      <c r="B69" t="s">
        <v>299</v>
      </c>
      <c r="C69" t="s">
        <v>314</v>
      </c>
      <c r="D69">
        <v>90</v>
      </c>
      <c r="E69">
        <v>120</v>
      </c>
      <c r="F69">
        <v>120</v>
      </c>
      <c r="G69">
        <v>0</v>
      </c>
      <c r="H69">
        <v>0</v>
      </c>
      <c r="I69" t="s">
        <v>256</v>
      </c>
    </row>
    <row r="70" spans="1:9" x14ac:dyDescent="0.25">
      <c r="A70" t="s">
        <v>298</v>
      </c>
      <c r="B70" t="s">
        <v>299</v>
      </c>
      <c r="C70" t="s">
        <v>315</v>
      </c>
      <c r="D70">
        <v>40</v>
      </c>
      <c r="E70">
        <v>120</v>
      </c>
      <c r="F70">
        <v>120</v>
      </c>
      <c r="G70">
        <v>0</v>
      </c>
      <c r="H70">
        <v>0</v>
      </c>
      <c r="I70" t="s">
        <v>256</v>
      </c>
    </row>
    <row r="71" spans="1:9" x14ac:dyDescent="0.25">
      <c r="A71" t="s">
        <v>298</v>
      </c>
      <c r="B71" t="s">
        <v>299</v>
      </c>
      <c r="C71" t="s">
        <v>316</v>
      </c>
      <c r="D71">
        <v>150</v>
      </c>
      <c r="E71">
        <v>120</v>
      </c>
      <c r="F71">
        <v>120</v>
      </c>
      <c r="G71">
        <v>0</v>
      </c>
      <c r="H71">
        <v>0</v>
      </c>
      <c r="I71" t="s">
        <v>256</v>
      </c>
    </row>
    <row r="72" spans="1:9" x14ac:dyDescent="0.25">
      <c r="A72" t="s">
        <v>298</v>
      </c>
      <c r="B72" t="s">
        <v>299</v>
      </c>
      <c r="C72" t="s">
        <v>317</v>
      </c>
      <c r="D72">
        <v>40</v>
      </c>
      <c r="E72">
        <v>120</v>
      </c>
      <c r="F72">
        <v>120</v>
      </c>
      <c r="G72">
        <v>0</v>
      </c>
      <c r="H72">
        <v>0</v>
      </c>
      <c r="I72" t="s">
        <v>256</v>
      </c>
    </row>
    <row r="73" spans="1:9" x14ac:dyDescent="0.25">
      <c r="A73" t="s">
        <v>298</v>
      </c>
      <c r="B73" t="s">
        <v>299</v>
      </c>
      <c r="C73" t="s">
        <v>319</v>
      </c>
      <c r="D73">
        <v>40</v>
      </c>
      <c r="E73">
        <v>120</v>
      </c>
      <c r="F73">
        <v>120</v>
      </c>
      <c r="G73">
        <v>0</v>
      </c>
      <c r="H73">
        <v>0</v>
      </c>
      <c r="I73" t="s">
        <v>256</v>
      </c>
    </row>
    <row r="74" spans="1:9" x14ac:dyDescent="0.25">
      <c r="A74" t="s">
        <v>298</v>
      </c>
      <c r="B74" t="s">
        <v>299</v>
      </c>
      <c r="C74" t="s">
        <v>320</v>
      </c>
      <c r="D74">
        <v>30</v>
      </c>
      <c r="E74">
        <v>120</v>
      </c>
      <c r="F74">
        <v>120</v>
      </c>
      <c r="G74">
        <v>0</v>
      </c>
      <c r="H74">
        <v>0</v>
      </c>
      <c r="I74" t="s">
        <v>256</v>
      </c>
    </row>
    <row r="75" spans="1:9" x14ac:dyDescent="0.25">
      <c r="A75" t="s">
        <v>298</v>
      </c>
      <c r="B75" t="s">
        <v>299</v>
      </c>
      <c r="C75" t="s">
        <v>267</v>
      </c>
      <c r="D75">
        <v>120</v>
      </c>
      <c r="E75">
        <v>120</v>
      </c>
      <c r="F75">
        <v>120</v>
      </c>
      <c r="G75">
        <v>0</v>
      </c>
      <c r="H75">
        <v>0</v>
      </c>
      <c r="I75" t="s">
        <v>256</v>
      </c>
    </row>
    <row r="76" spans="1:9" x14ac:dyDescent="0.25">
      <c r="A76" t="s">
        <v>298</v>
      </c>
      <c r="B76" t="s">
        <v>299</v>
      </c>
      <c r="C76" t="s">
        <v>322</v>
      </c>
      <c r="D76">
        <v>180</v>
      </c>
      <c r="E76">
        <v>120</v>
      </c>
      <c r="F76">
        <v>120</v>
      </c>
      <c r="G76">
        <v>0</v>
      </c>
      <c r="H76">
        <v>0</v>
      </c>
      <c r="I76" t="s">
        <v>256</v>
      </c>
    </row>
    <row r="77" spans="1:9" x14ac:dyDescent="0.25">
      <c r="A77" t="s">
        <v>298</v>
      </c>
      <c r="B77" t="s">
        <v>299</v>
      </c>
      <c r="C77" t="s">
        <v>324</v>
      </c>
      <c r="D77">
        <v>40</v>
      </c>
      <c r="E77">
        <v>120</v>
      </c>
      <c r="F77">
        <v>120</v>
      </c>
      <c r="G77">
        <v>0</v>
      </c>
      <c r="H77">
        <v>0</v>
      </c>
      <c r="I77" t="s">
        <v>256</v>
      </c>
    </row>
    <row r="78" spans="1:9" x14ac:dyDescent="0.25">
      <c r="A78" t="s">
        <v>298</v>
      </c>
      <c r="B78" t="s">
        <v>299</v>
      </c>
      <c r="C78" t="s">
        <v>327</v>
      </c>
      <c r="D78">
        <v>40</v>
      </c>
      <c r="E78">
        <v>120</v>
      </c>
      <c r="F78">
        <v>120</v>
      </c>
      <c r="G78">
        <v>0</v>
      </c>
      <c r="H78">
        <v>0</v>
      </c>
      <c r="I78" t="s">
        <v>256</v>
      </c>
    </row>
    <row r="79" spans="1:9" x14ac:dyDescent="0.25">
      <c r="A79" t="s">
        <v>329</v>
      </c>
      <c r="B79" t="s">
        <v>330</v>
      </c>
      <c r="C79" t="s">
        <v>312</v>
      </c>
      <c r="D79">
        <v>40</v>
      </c>
      <c r="E79">
        <v>234</v>
      </c>
      <c r="F79">
        <v>234</v>
      </c>
      <c r="G79">
        <v>0</v>
      </c>
      <c r="H79">
        <v>0</v>
      </c>
      <c r="I79" t="s">
        <v>256</v>
      </c>
    </row>
    <row r="80" spans="1:9" x14ac:dyDescent="0.25">
      <c r="A80" t="s">
        <v>329</v>
      </c>
      <c r="B80" t="s">
        <v>330</v>
      </c>
      <c r="C80" t="s">
        <v>314</v>
      </c>
      <c r="D80">
        <v>90</v>
      </c>
      <c r="E80">
        <v>234</v>
      </c>
      <c r="F80">
        <v>234</v>
      </c>
      <c r="G80">
        <v>0</v>
      </c>
      <c r="H80">
        <v>0</v>
      </c>
      <c r="I80" t="s">
        <v>256</v>
      </c>
    </row>
    <row r="81" spans="1:9" x14ac:dyDescent="0.25">
      <c r="A81" t="s">
        <v>329</v>
      </c>
      <c r="B81" t="s">
        <v>330</v>
      </c>
      <c r="C81" t="s">
        <v>336</v>
      </c>
      <c r="D81">
        <v>100</v>
      </c>
      <c r="E81">
        <v>234</v>
      </c>
      <c r="F81">
        <v>234</v>
      </c>
      <c r="G81">
        <v>0</v>
      </c>
      <c r="H81">
        <v>0</v>
      </c>
      <c r="I81" t="s">
        <v>256</v>
      </c>
    </row>
    <row r="82" spans="1:9" x14ac:dyDescent="0.25">
      <c r="A82" t="s">
        <v>329</v>
      </c>
      <c r="B82" t="s">
        <v>330</v>
      </c>
      <c r="C82" t="s">
        <v>338</v>
      </c>
      <c r="D82">
        <v>60</v>
      </c>
      <c r="E82">
        <v>234</v>
      </c>
      <c r="F82">
        <v>234</v>
      </c>
      <c r="G82">
        <v>0</v>
      </c>
      <c r="H82">
        <v>0</v>
      </c>
      <c r="I82" t="s">
        <v>256</v>
      </c>
    </row>
    <row r="83" spans="1:9" x14ac:dyDescent="0.25">
      <c r="A83" t="s">
        <v>329</v>
      </c>
      <c r="B83" t="s">
        <v>330</v>
      </c>
      <c r="C83" t="s">
        <v>340</v>
      </c>
      <c r="D83">
        <v>40</v>
      </c>
      <c r="E83">
        <v>234</v>
      </c>
      <c r="F83">
        <v>234</v>
      </c>
      <c r="G83">
        <v>0</v>
      </c>
      <c r="H83">
        <v>0</v>
      </c>
      <c r="I83" t="s">
        <v>256</v>
      </c>
    </row>
    <row r="84" spans="1:9" x14ac:dyDescent="0.25">
      <c r="A84" t="s">
        <v>329</v>
      </c>
      <c r="B84" t="s">
        <v>330</v>
      </c>
      <c r="C84" t="s">
        <v>342</v>
      </c>
      <c r="D84">
        <v>65</v>
      </c>
      <c r="E84">
        <v>234</v>
      </c>
      <c r="F84">
        <v>234</v>
      </c>
      <c r="G84">
        <v>0</v>
      </c>
      <c r="H84">
        <v>0</v>
      </c>
      <c r="I84" t="s">
        <v>256</v>
      </c>
    </row>
    <row r="85" spans="1:9" x14ac:dyDescent="0.25">
      <c r="A85" t="s">
        <v>329</v>
      </c>
      <c r="B85" t="s">
        <v>330</v>
      </c>
      <c r="C85" t="s">
        <v>228</v>
      </c>
      <c r="D85">
        <v>60</v>
      </c>
      <c r="E85">
        <v>234</v>
      </c>
      <c r="F85">
        <v>234</v>
      </c>
      <c r="G85">
        <v>0</v>
      </c>
      <c r="H85">
        <v>0</v>
      </c>
      <c r="I85" t="s">
        <v>256</v>
      </c>
    </row>
    <row r="86" spans="1:9" x14ac:dyDescent="0.25">
      <c r="A86" t="s">
        <v>329</v>
      </c>
      <c r="B86" t="s">
        <v>330</v>
      </c>
      <c r="C86" t="s">
        <v>345</v>
      </c>
      <c r="D86">
        <v>45</v>
      </c>
      <c r="E86">
        <v>234</v>
      </c>
      <c r="F86">
        <v>234</v>
      </c>
      <c r="G86">
        <v>0</v>
      </c>
      <c r="H86">
        <v>0</v>
      </c>
      <c r="I86" t="s">
        <v>256</v>
      </c>
    </row>
    <row r="87" spans="1:9" x14ac:dyDescent="0.25">
      <c r="A87" t="s">
        <v>329</v>
      </c>
      <c r="B87" t="s">
        <v>330</v>
      </c>
      <c r="C87" t="s">
        <v>346</v>
      </c>
      <c r="D87">
        <v>45</v>
      </c>
      <c r="E87">
        <v>234</v>
      </c>
      <c r="F87">
        <v>234</v>
      </c>
      <c r="G87">
        <v>0</v>
      </c>
      <c r="H87">
        <v>0</v>
      </c>
      <c r="I87" t="s">
        <v>256</v>
      </c>
    </row>
    <row r="88" spans="1:9" x14ac:dyDescent="0.25">
      <c r="A88" t="s">
        <v>329</v>
      </c>
      <c r="B88" t="s">
        <v>330</v>
      </c>
      <c r="C88" t="s">
        <v>348</v>
      </c>
      <c r="D88">
        <v>40</v>
      </c>
      <c r="E88">
        <v>234</v>
      </c>
      <c r="F88">
        <v>234</v>
      </c>
      <c r="G88">
        <v>0</v>
      </c>
      <c r="H88">
        <v>0</v>
      </c>
      <c r="I88" t="s">
        <v>256</v>
      </c>
    </row>
    <row r="89" spans="1:9" x14ac:dyDescent="0.25">
      <c r="A89" t="s">
        <v>329</v>
      </c>
      <c r="B89" t="s">
        <v>330</v>
      </c>
      <c r="C89" t="s">
        <v>293</v>
      </c>
      <c r="D89">
        <v>180</v>
      </c>
      <c r="E89">
        <v>234</v>
      </c>
      <c r="F89">
        <v>234</v>
      </c>
      <c r="G89">
        <v>0</v>
      </c>
      <c r="H89">
        <v>0</v>
      </c>
      <c r="I89" t="s">
        <v>256</v>
      </c>
    </row>
    <row r="90" spans="1:9" x14ac:dyDescent="0.25">
      <c r="A90" t="s">
        <v>329</v>
      </c>
      <c r="B90" t="s">
        <v>330</v>
      </c>
      <c r="C90" t="s">
        <v>350</v>
      </c>
      <c r="D90">
        <v>30</v>
      </c>
      <c r="E90">
        <v>234</v>
      </c>
      <c r="F90">
        <v>234</v>
      </c>
      <c r="G90">
        <v>0</v>
      </c>
      <c r="H90">
        <v>0</v>
      </c>
      <c r="I90" t="s">
        <v>256</v>
      </c>
    </row>
    <row r="91" spans="1:9" x14ac:dyDescent="0.25">
      <c r="A91" t="s">
        <v>357</v>
      </c>
      <c r="B91" t="s">
        <v>358</v>
      </c>
      <c r="C91" t="s">
        <v>57</v>
      </c>
      <c r="D91">
        <v>45</v>
      </c>
      <c r="E91">
        <v>279</v>
      </c>
      <c r="F91">
        <v>175</v>
      </c>
      <c r="G91">
        <v>104</v>
      </c>
      <c r="H91">
        <v>78</v>
      </c>
      <c r="I91" t="s">
        <v>255</v>
      </c>
    </row>
    <row r="92" spans="1:9" x14ac:dyDescent="0.25">
      <c r="A92" t="s">
        <v>357</v>
      </c>
      <c r="B92" t="s">
        <v>358</v>
      </c>
      <c r="C92" t="s">
        <v>60</v>
      </c>
      <c r="D92">
        <v>65</v>
      </c>
      <c r="E92">
        <v>279</v>
      </c>
      <c r="F92">
        <v>0</v>
      </c>
      <c r="G92">
        <v>279</v>
      </c>
      <c r="H92">
        <v>302.25</v>
      </c>
      <c r="I92" t="s">
        <v>118</v>
      </c>
    </row>
    <row r="93" spans="1:9" x14ac:dyDescent="0.25">
      <c r="A93" t="s">
        <v>357</v>
      </c>
      <c r="B93" t="s">
        <v>358</v>
      </c>
      <c r="C93" t="s">
        <v>132</v>
      </c>
      <c r="D93">
        <v>40</v>
      </c>
      <c r="E93">
        <v>279</v>
      </c>
      <c r="F93">
        <v>0</v>
      </c>
      <c r="G93">
        <v>279</v>
      </c>
      <c r="H93">
        <v>186</v>
      </c>
      <c r="I93" t="s">
        <v>118</v>
      </c>
    </row>
    <row r="94" spans="1:9" x14ac:dyDescent="0.25">
      <c r="A94" t="s">
        <v>357</v>
      </c>
      <c r="B94" t="s">
        <v>358</v>
      </c>
      <c r="C94" t="s">
        <v>257</v>
      </c>
      <c r="D94">
        <v>90</v>
      </c>
      <c r="E94">
        <v>279</v>
      </c>
      <c r="F94">
        <v>0</v>
      </c>
      <c r="G94">
        <v>279</v>
      </c>
      <c r="H94">
        <v>418.5</v>
      </c>
      <c r="I94" t="s">
        <v>118</v>
      </c>
    </row>
    <row r="95" spans="1:9" x14ac:dyDescent="0.25">
      <c r="A95" t="s">
        <v>357</v>
      </c>
      <c r="B95" t="s">
        <v>358</v>
      </c>
      <c r="C95" t="s">
        <v>360</v>
      </c>
      <c r="D95">
        <v>100</v>
      </c>
      <c r="E95">
        <v>279</v>
      </c>
      <c r="F95">
        <v>0</v>
      </c>
      <c r="G95">
        <v>279</v>
      </c>
      <c r="H95">
        <v>465</v>
      </c>
      <c r="I95" t="s">
        <v>118</v>
      </c>
    </row>
    <row r="96" spans="1:9" x14ac:dyDescent="0.25">
      <c r="A96" t="s">
        <v>357</v>
      </c>
      <c r="B96" t="s">
        <v>358</v>
      </c>
      <c r="C96" t="s">
        <v>361</v>
      </c>
      <c r="D96">
        <v>30</v>
      </c>
      <c r="E96">
        <v>279</v>
      </c>
      <c r="F96">
        <v>279</v>
      </c>
      <c r="G96">
        <v>0</v>
      </c>
      <c r="H96">
        <v>0</v>
      </c>
      <c r="I96" t="s">
        <v>256</v>
      </c>
    </row>
    <row r="97" spans="1:9" x14ac:dyDescent="0.25">
      <c r="A97" t="s">
        <v>357</v>
      </c>
      <c r="B97" t="s">
        <v>358</v>
      </c>
      <c r="C97" t="s">
        <v>362</v>
      </c>
      <c r="D97">
        <v>150</v>
      </c>
      <c r="E97">
        <v>279</v>
      </c>
      <c r="F97">
        <v>0</v>
      </c>
      <c r="G97">
        <v>279</v>
      </c>
      <c r="H97">
        <v>697.5</v>
      </c>
      <c r="I97" t="s">
        <v>118</v>
      </c>
    </row>
    <row r="98" spans="1:9" x14ac:dyDescent="0.25">
      <c r="A98" t="s">
        <v>357</v>
      </c>
      <c r="B98" t="s">
        <v>358</v>
      </c>
      <c r="C98" t="s">
        <v>364</v>
      </c>
      <c r="D98">
        <v>40</v>
      </c>
      <c r="E98">
        <v>279</v>
      </c>
      <c r="F98">
        <v>0</v>
      </c>
      <c r="G98">
        <v>279</v>
      </c>
      <c r="H98">
        <v>186</v>
      </c>
      <c r="I98" t="s">
        <v>118</v>
      </c>
    </row>
    <row r="99" spans="1:9" x14ac:dyDescent="0.25">
      <c r="A99" t="s">
        <v>357</v>
      </c>
      <c r="B99" t="s">
        <v>358</v>
      </c>
      <c r="C99" t="s">
        <v>366</v>
      </c>
      <c r="D99">
        <v>50</v>
      </c>
      <c r="E99">
        <v>279</v>
      </c>
      <c r="F99">
        <v>0</v>
      </c>
      <c r="G99">
        <v>279</v>
      </c>
      <c r="H99">
        <v>232.5</v>
      </c>
      <c r="I99" t="s">
        <v>118</v>
      </c>
    </row>
    <row r="100" spans="1:9" x14ac:dyDescent="0.25">
      <c r="A100" t="s">
        <v>357</v>
      </c>
      <c r="B100" t="s">
        <v>358</v>
      </c>
      <c r="C100" t="s">
        <v>294</v>
      </c>
      <c r="D100">
        <v>180</v>
      </c>
      <c r="E100">
        <v>279</v>
      </c>
      <c r="F100">
        <v>0</v>
      </c>
      <c r="G100">
        <v>279</v>
      </c>
      <c r="H100">
        <v>837</v>
      </c>
      <c r="I100" t="s">
        <v>118</v>
      </c>
    </row>
    <row r="101" spans="1:9" x14ac:dyDescent="0.25">
      <c r="A101" t="s">
        <v>357</v>
      </c>
      <c r="B101" t="s">
        <v>358</v>
      </c>
      <c r="C101" t="s">
        <v>270</v>
      </c>
      <c r="D101">
        <v>35</v>
      </c>
      <c r="E101">
        <v>279</v>
      </c>
      <c r="F101">
        <v>0</v>
      </c>
      <c r="G101">
        <v>279</v>
      </c>
      <c r="H101">
        <v>162.75</v>
      </c>
      <c r="I101" t="s">
        <v>118</v>
      </c>
    </row>
    <row r="102" spans="1:9" x14ac:dyDescent="0.25">
      <c r="A102" t="s">
        <v>357</v>
      </c>
      <c r="B102" t="s">
        <v>358</v>
      </c>
      <c r="C102" t="s">
        <v>369</v>
      </c>
      <c r="D102">
        <v>45</v>
      </c>
      <c r="E102">
        <v>279</v>
      </c>
      <c r="F102">
        <v>0</v>
      </c>
      <c r="G102">
        <v>279</v>
      </c>
      <c r="H102">
        <v>209.25</v>
      </c>
      <c r="I102" t="s">
        <v>118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BE319-B99E-4806-A5CD-FAFF331B51A2}">
  <sheetPr codeName="Hoja13">
    <tabColor rgb="FF00B050"/>
  </sheetPr>
  <dimension ref="A1:U24"/>
  <sheetViews>
    <sheetView topLeftCell="A10" workbookViewId="0">
      <selection activeCell="F3" sqref="F3"/>
    </sheetView>
  </sheetViews>
  <sheetFormatPr baseColWidth="10" defaultRowHeight="15" x14ac:dyDescent="0.25"/>
  <cols>
    <col min="1" max="1" width="29.7109375" bestFit="1" customWidth="1"/>
    <col min="2" max="2" width="15.7109375" bestFit="1" customWidth="1"/>
    <col min="3" max="3" width="9.5703125" bestFit="1" customWidth="1"/>
    <col min="4" max="4" width="5.140625" bestFit="1" customWidth="1"/>
    <col min="5" max="5" width="8.85546875" bestFit="1" customWidth="1"/>
    <col min="6" max="6" width="14" bestFit="1" customWidth="1"/>
    <col min="7" max="7" width="15.42578125" bestFit="1" customWidth="1"/>
    <col min="8" max="8" width="17.140625" bestFit="1" customWidth="1"/>
    <col min="9" max="9" width="9.42578125" bestFit="1" customWidth="1"/>
    <col min="10" max="10" width="16.85546875" bestFit="1" customWidth="1"/>
    <col min="11" max="11" width="12.14062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33</v>
      </c>
      <c r="B3" s="6" t="s">
        <v>31</v>
      </c>
      <c r="C3" s="6" t="s">
        <v>3</v>
      </c>
      <c r="D3" s="6" t="s">
        <v>4</v>
      </c>
      <c r="E3" s="6" t="s">
        <v>34</v>
      </c>
      <c r="F3" s="6" t="s">
        <v>204</v>
      </c>
      <c r="G3" s="6" t="s">
        <v>113</v>
      </c>
      <c r="H3" s="6" t="s">
        <v>114</v>
      </c>
      <c r="I3" s="6" t="s">
        <v>115</v>
      </c>
      <c r="J3" s="6" t="s">
        <v>116</v>
      </c>
      <c r="K3" s="6" t="s">
        <v>0</v>
      </c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t="s">
        <v>87</v>
      </c>
      <c r="B4" t="s">
        <v>53</v>
      </c>
      <c r="C4" t="s">
        <v>56</v>
      </c>
      <c r="D4" t="s">
        <v>80</v>
      </c>
      <c r="E4">
        <v>23</v>
      </c>
      <c r="F4">
        <v>12</v>
      </c>
      <c r="G4">
        <v>276</v>
      </c>
      <c r="H4">
        <v>115</v>
      </c>
      <c r="I4" s="3">
        <v>0.41666666666666669</v>
      </c>
      <c r="J4">
        <v>5.46</v>
      </c>
      <c r="K4" s="11" t="s">
        <v>117</v>
      </c>
    </row>
    <row r="5" spans="1:21" x14ac:dyDescent="0.25">
      <c r="A5" t="s">
        <v>88</v>
      </c>
      <c r="B5" t="s">
        <v>53</v>
      </c>
      <c r="C5" t="s">
        <v>56</v>
      </c>
      <c r="D5" t="s">
        <v>48</v>
      </c>
      <c r="E5">
        <v>37</v>
      </c>
      <c r="F5">
        <v>12</v>
      </c>
      <c r="G5">
        <v>444</v>
      </c>
      <c r="H5">
        <v>407</v>
      </c>
      <c r="I5" s="3">
        <v>0.91666666666666663</v>
      </c>
      <c r="J5">
        <v>8.7899999999999991</v>
      </c>
      <c r="K5" s="11" t="s">
        <v>117</v>
      </c>
    </row>
    <row r="6" spans="1:21" x14ac:dyDescent="0.25">
      <c r="A6" t="s">
        <v>89</v>
      </c>
      <c r="B6" t="s">
        <v>53</v>
      </c>
      <c r="C6" t="s">
        <v>56</v>
      </c>
      <c r="D6" t="s">
        <v>49</v>
      </c>
      <c r="E6">
        <v>23</v>
      </c>
      <c r="F6">
        <v>12</v>
      </c>
      <c r="G6">
        <v>276</v>
      </c>
      <c r="H6">
        <v>230</v>
      </c>
      <c r="I6" s="3">
        <v>0.83333333333333337</v>
      </c>
      <c r="J6">
        <v>5.46</v>
      </c>
      <c r="K6" s="11" t="s">
        <v>117</v>
      </c>
    </row>
    <row r="7" spans="1:21" x14ac:dyDescent="0.25">
      <c r="A7" t="s">
        <v>90</v>
      </c>
      <c r="B7" t="s">
        <v>53</v>
      </c>
      <c r="C7" t="s">
        <v>56</v>
      </c>
      <c r="D7" t="s">
        <v>50</v>
      </c>
      <c r="E7">
        <v>12</v>
      </c>
      <c r="F7">
        <v>12</v>
      </c>
      <c r="G7">
        <v>144</v>
      </c>
      <c r="H7">
        <v>120</v>
      </c>
      <c r="I7" s="3">
        <v>0.83333333333333337</v>
      </c>
      <c r="J7">
        <v>2.85</v>
      </c>
      <c r="K7" s="11" t="s">
        <v>117</v>
      </c>
    </row>
    <row r="8" spans="1:21" x14ac:dyDescent="0.25">
      <c r="A8" t="s">
        <v>91</v>
      </c>
      <c r="B8" t="s">
        <v>53</v>
      </c>
      <c r="C8" t="s">
        <v>55</v>
      </c>
      <c r="D8" t="s">
        <v>81</v>
      </c>
      <c r="E8">
        <v>55</v>
      </c>
      <c r="F8">
        <v>12</v>
      </c>
      <c r="G8">
        <v>660</v>
      </c>
      <c r="H8">
        <v>0</v>
      </c>
      <c r="I8" s="3">
        <v>0</v>
      </c>
      <c r="J8">
        <v>13.06</v>
      </c>
      <c r="K8" t="s">
        <v>118</v>
      </c>
    </row>
    <row r="9" spans="1:21" x14ac:dyDescent="0.25">
      <c r="A9" t="s">
        <v>92</v>
      </c>
      <c r="B9" t="s">
        <v>53</v>
      </c>
      <c r="C9" t="s">
        <v>55</v>
      </c>
      <c r="D9" t="s">
        <v>82</v>
      </c>
      <c r="E9">
        <v>36</v>
      </c>
      <c r="F9">
        <v>12</v>
      </c>
      <c r="G9">
        <v>432</v>
      </c>
      <c r="H9">
        <v>0</v>
      </c>
      <c r="I9" s="3">
        <v>0</v>
      </c>
      <c r="J9">
        <v>8.5500000000000007</v>
      </c>
      <c r="K9" t="s">
        <v>118</v>
      </c>
    </row>
    <row r="10" spans="1:21" x14ac:dyDescent="0.25">
      <c r="A10" t="s">
        <v>93</v>
      </c>
      <c r="B10" t="s">
        <v>53</v>
      </c>
      <c r="C10" t="s">
        <v>55</v>
      </c>
      <c r="D10" t="s">
        <v>50</v>
      </c>
      <c r="E10">
        <v>19</v>
      </c>
      <c r="F10">
        <v>12</v>
      </c>
      <c r="G10">
        <v>228</v>
      </c>
      <c r="H10">
        <v>133</v>
      </c>
      <c r="I10" s="3">
        <v>0.58333333333333337</v>
      </c>
      <c r="J10">
        <v>4.51</v>
      </c>
      <c r="K10" s="11" t="s">
        <v>117</v>
      </c>
    </row>
    <row r="11" spans="1:21" x14ac:dyDescent="0.25">
      <c r="A11" t="s">
        <v>94</v>
      </c>
      <c r="B11" t="s">
        <v>53</v>
      </c>
      <c r="C11" t="s">
        <v>55</v>
      </c>
      <c r="D11" t="s">
        <v>51</v>
      </c>
      <c r="E11">
        <v>36</v>
      </c>
      <c r="F11">
        <v>12</v>
      </c>
      <c r="G11">
        <v>432</v>
      </c>
      <c r="H11">
        <v>216</v>
      </c>
      <c r="I11" s="3">
        <v>0.5</v>
      </c>
      <c r="J11">
        <v>8.5500000000000007</v>
      </c>
      <c r="K11" s="11" t="s">
        <v>117</v>
      </c>
    </row>
    <row r="12" spans="1:21" x14ac:dyDescent="0.25">
      <c r="A12" t="s">
        <v>155</v>
      </c>
      <c r="B12" t="s">
        <v>403</v>
      </c>
      <c r="C12" t="s">
        <v>153</v>
      </c>
      <c r="D12" t="s">
        <v>152</v>
      </c>
      <c r="E12">
        <v>30</v>
      </c>
      <c r="F12">
        <v>13</v>
      </c>
      <c r="G12">
        <v>390</v>
      </c>
      <c r="H12">
        <v>0</v>
      </c>
      <c r="I12" s="3">
        <v>0</v>
      </c>
      <c r="J12">
        <v>6.5</v>
      </c>
      <c r="K12" t="s">
        <v>118</v>
      </c>
    </row>
    <row r="13" spans="1:21" x14ac:dyDescent="0.25">
      <c r="A13" t="s">
        <v>205</v>
      </c>
      <c r="B13" t="s">
        <v>403</v>
      </c>
      <c r="C13" t="s">
        <v>153</v>
      </c>
      <c r="D13" t="s">
        <v>51</v>
      </c>
      <c r="E13">
        <v>62</v>
      </c>
      <c r="F13">
        <v>13</v>
      </c>
      <c r="G13">
        <v>806</v>
      </c>
      <c r="H13">
        <v>0</v>
      </c>
      <c r="I13" s="3">
        <v>0</v>
      </c>
      <c r="J13">
        <v>13.43</v>
      </c>
      <c r="K13" t="s">
        <v>118</v>
      </c>
    </row>
    <row r="14" spans="1:21" x14ac:dyDescent="0.25">
      <c r="A14" t="s">
        <v>206</v>
      </c>
      <c r="B14" t="s">
        <v>403</v>
      </c>
      <c r="C14" t="s">
        <v>153</v>
      </c>
      <c r="D14" t="s">
        <v>48</v>
      </c>
      <c r="E14">
        <v>60</v>
      </c>
      <c r="F14">
        <v>13</v>
      </c>
      <c r="G14">
        <v>780</v>
      </c>
      <c r="H14">
        <v>0</v>
      </c>
      <c r="I14" s="3">
        <v>0</v>
      </c>
      <c r="J14">
        <v>13</v>
      </c>
      <c r="K14" t="s">
        <v>118</v>
      </c>
    </row>
    <row r="15" spans="1:21" x14ac:dyDescent="0.25">
      <c r="A15" t="s">
        <v>207</v>
      </c>
      <c r="B15" t="s">
        <v>403</v>
      </c>
      <c r="C15" t="s">
        <v>153</v>
      </c>
      <c r="D15" t="s">
        <v>49</v>
      </c>
      <c r="E15">
        <v>30</v>
      </c>
      <c r="F15">
        <v>13</v>
      </c>
      <c r="G15">
        <v>390</v>
      </c>
      <c r="H15">
        <v>0</v>
      </c>
      <c r="I15" s="3">
        <v>0</v>
      </c>
      <c r="J15">
        <v>6.5</v>
      </c>
      <c r="K15" t="s">
        <v>118</v>
      </c>
    </row>
    <row r="16" spans="1:21" x14ac:dyDescent="0.25">
      <c r="A16" t="s">
        <v>208</v>
      </c>
      <c r="B16" t="s">
        <v>403</v>
      </c>
      <c r="C16" t="s">
        <v>154</v>
      </c>
      <c r="D16" t="s">
        <v>152</v>
      </c>
      <c r="E16">
        <v>45</v>
      </c>
      <c r="F16">
        <v>13</v>
      </c>
      <c r="G16">
        <v>585</v>
      </c>
      <c r="H16">
        <v>0</v>
      </c>
      <c r="I16" s="3">
        <v>0</v>
      </c>
      <c r="J16">
        <v>9.75</v>
      </c>
      <c r="K16" t="s">
        <v>118</v>
      </c>
    </row>
    <row r="17" spans="1:11" x14ac:dyDescent="0.25">
      <c r="A17" t="s">
        <v>209</v>
      </c>
      <c r="B17" t="s">
        <v>403</v>
      </c>
      <c r="C17" t="s">
        <v>154</v>
      </c>
      <c r="D17" t="s">
        <v>51</v>
      </c>
      <c r="E17">
        <v>92</v>
      </c>
      <c r="F17">
        <v>13</v>
      </c>
      <c r="G17">
        <v>1196</v>
      </c>
      <c r="H17">
        <v>0</v>
      </c>
      <c r="I17" s="3">
        <v>0</v>
      </c>
      <c r="J17">
        <v>19.93</v>
      </c>
      <c r="K17" t="s">
        <v>118</v>
      </c>
    </row>
    <row r="18" spans="1:11" x14ac:dyDescent="0.25">
      <c r="A18" t="s">
        <v>210</v>
      </c>
      <c r="B18" t="s">
        <v>403</v>
      </c>
      <c r="C18" t="s">
        <v>154</v>
      </c>
      <c r="D18" t="s">
        <v>48</v>
      </c>
      <c r="E18">
        <v>90</v>
      </c>
      <c r="F18">
        <v>13</v>
      </c>
      <c r="G18">
        <v>1170</v>
      </c>
      <c r="H18">
        <v>0</v>
      </c>
      <c r="I18" s="3">
        <v>0</v>
      </c>
      <c r="J18">
        <v>19.5</v>
      </c>
      <c r="K18" t="s">
        <v>118</v>
      </c>
    </row>
    <row r="19" spans="1:11" x14ac:dyDescent="0.25">
      <c r="A19" t="s">
        <v>211</v>
      </c>
      <c r="B19" t="s">
        <v>403</v>
      </c>
      <c r="C19" t="s">
        <v>154</v>
      </c>
      <c r="D19" t="s">
        <v>49</v>
      </c>
      <c r="E19">
        <v>45</v>
      </c>
      <c r="F19">
        <v>13</v>
      </c>
      <c r="G19">
        <v>585</v>
      </c>
      <c r="H19">
        <v>0</v>
      </c>
      <c r="I19" s="3">
        <v>0</v>
      </c>
      <c r="J19">
        <v>9.75</v>
      </c>
      <c r="K19" t="s">
        <v>118</v>
      </c>
    </row>
    <row r="20" spans="1:11" x14ac:dyDescent="0.25">
      <c r="A20" t="s">
        <v>234</v>
      </c>
      <c r="B20" t="s">
        <v>217</v>
      </c>
      <c r="C20" t="s">
        <v>55</v>
      </c>
      <c r="D20" t="s">
        <v>51</v>
      </c>
      <c r="E20">
        <v>127</v>
      </c>
      <c r="F20">
        <v>12</v>
      </c>
      <c r="G20">
        <v>1524</v>
      </c>
      <c r="H20">
        <v>0</v>
      </c>
      <c r="I20" s="3">
        <v>0</v>
      </c>
      <c r="J20">
        <v>27.52</v>
      </c>
      <c r="K20" t="s">
        <v>118</v>
      </c>
    </row>
    <row r="21" spans="1:11" x14ac:dyDescent="0.25">
      <c r="A21" t="s">
        <v>236</v>
      </c>
      <c r="B21" t="s">
        <v>217</v>
      </c>
      <c r="C21" t="s">
        <v>55</v>
      </c>
      <c r="D21" t="s">
        <v>48</v>
      </c>
      <c r="E21">
        <v>200</v>
      </c>
      <c r="F21">
        <v>12</v>
      </c>
      <c r="G21">
        <v>2400</v>
      </c>
      <c r="H21">
        <v>0</v>
      </c>
      <c r="I21" s="3">
        <v>0</v>
      </c>
      <c r="J21">
        <v>43.33</v>
      </c>
      <c r="K21" t="s">
        <v>118</v>
      </c>
    </row>
    <row r="22" spans="1:11" x14ac:dyDescent="0.25">
      <c r="A22" t="s">
        <v>237</v>
      </c>
      <c r="B22" t="s">
        <v>217</v>
      </c>
      <c r="C22" t="s">
        <v>55</v>
      </c>
      <c r="D22" t="s">
        <v>49</v>
      </c>
      <c r="E22">
        <v>127</v>
      </c>
      <c r="F22">
        <v>12</v>
      </c>
      <c r="G22">
        <v>1524</v>
      </c>
      <c r="H22">
        <v>127</v>
      </c>
      <c r="I22" s="3">
        <v>8.3333333333333329E-2</v>
      </c>
      <c r="J22">
        <v>27.52</v>
      </c>
      <c r="K22" s="11" t="s">
        <v>117</v>
      </c>
    </row>
    <row r="23" spans="1:11" x14ac:dyDescent="0.25">
      <c r="A23" t="s">
        <v>238</v>
      </c>
      <c r="B23" t="s">
        <v>217</v>
      </c>
      <c r="C23" t="s">
        <v>55</v>
      </c>
      <c r="D23" t="s">
        <v>50</v>
      </c>
      <c r="E23">
        <v>64</v>
      </c>
      <c r="F23">
        <v>12</v>
      </c>
      <c r="G23">
        <v>768</v>
      </c>
      <c r="H23">
        <v>0</v>
      </c>
      <c r="I23" s="3">
        <v>0</v>
      </c>
      <c r="J23">
        <v>13.87</v>
      </c>
      <c r="K23" t="s">
        <v>118</v>
      </c>
    </row>
    <row r="24" spans="1:11" x14ac:dyDescent="0.25">
      <c r="I24" s="3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CAF8-5D34-46EE-9FCB-729FF26F9D7D}">
  <sheetPr codeName="Hoja15">
    <tabColor rgb="FF00B050"/>
  </sheetPr>
  <dimension ref="A1:U11"/>
  <sheetViews>
    <sheetView workbookViewId="0">
      <selection activeCell="A5" sqref="A5"/>
    </sheetView>
  </sheetViews>
  <sheetFormatPr baseColWidth="10" defaultRowHeight="15" x14ac:dyDescent="0.25"/>
  <cols>
    <col min="1" max="1" width="24.140625" style="23" bestFit="1" customWidth="1"/>
    <col min="2" max="2" width="13.85546875" style="23" bestFit="1" customWidth="1"/>
    <col min="3" max="3" width="13" style="23" bestFit="1" customWidth="1"/>
    <col min="4" max="4" width="12.28515625" style="23" bestFit="1" customWidth="1"/>
    <col min="5" max="5" width="14.42578125" style="23" bestFit="1" customWidth="1"/>
    <col min="6" max="6" width="11.42578125" style="23" bestFit="1" customWidth="1"/>
    <col min="7" max="16384" width="11.42578125" style="23"/>
  </cols>
  <sheetData>
    <row r="1" spans="1:21" customFormat="1" ht="15" customHeight="1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21" customFormat="1" ht="45" customHeight="1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</row>
    <row r="3" spans="1:21" customFormat="1" x14ac:dyDescent="0.25">
      <c r="A3" s="6" t="s">
        <v>83</v>
      </c>
      <c r="B3" s="6" t="s">
        <v>101</v>
      </c>
      <c r="C3" s="6" t="s">
        <v>102</v>
      </c>
      <c r="D3" s="6" t="s">
        <v>112</v>
      </c>
      <c r="E3" s="6" t="s">
        <v>103</v>
      </c>
      <c r="F3" s="6" t="s">
        <v>0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25" t="s">
        <v>397</v>
      </c>
      <c r="B4" s="25">
        <v>438</v>
      </c>
      <c r="C4" s="25">
        <v>15</v>
      </c>
      <c r="D4" s="26">
        <v>3.4246575342465752E-2</v>
      </c>
      <c r="E4" s="25">
        <v>423</v>
      </c>
      <c r="F4" s="27" t="s">
        <v>111</v>
      </c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</row>
    <row r="5" spans="1:21" x14ac:dyDescent="0.25">
      <c r="A5" s="25" t="s">
        <v>398</v>
      </c>
      <c r="B5" s="25">
        <v>528</v>
      </c>
      <c r="C5" s="25">
        <v>0</v>
      </c>
      <c r="D5" s="26">
        <v>0</v>
      </c>
      <c r="E5" s="25">
        <v>528</v>
      </c>
      <c r="F5" s="27" t="s">
        <v>111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</row>
    <row r="6" spans="1:21" x14ac:dyDescent="0.25">
      <c r="A6" s="25" t="s">
        <v>399</v>
      </c>
      <c r="B6" s="25">
        <v>528</v>
      </c>
      <c r="C6" s="25">
        <v>0</v>
      </c>
      <c r="D6" s="26">
        <v>0</v>
      </c>
      <c r="E6" s="25">
        <v>528</v>
      </c>
      <c r="F6" s="27" t="s">
        <v>111</v>
      </c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</row>
    <row r="7" spans="1:21" x14ac:dyDescent="0.25">
      <c r="A7" s="25" t="s">
        <v>45</v>
      </c>
      <c r="B7" s="25">
        <v>528</v>
      </c>
      <c r="C7" s="25">
        <v>0</v>
      </c>
      <c r="D7" s="26">
        <v>0</v>
      </c>
      <c r="E7" s="25">
        <v>528</v>
      </c>
      <c r="F7" s="27" t="s">
        <v>111</v>
      </c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21" x14ac:dyDescent="0.25">
      <c r="A8" s="25" t="s">
        <v>418</v>
      </c>
      <c r="B8" s="25">
        <v>528</v>
      </c>
      <c r="C8" s="25">
        <v>0</v>
      </c>
      <c r="D8" s="26">
        <v>0</v>
      </c>
      <c r="E8" s="25">
        <v>528</v>
      </c>
      <c r="F8" s="27" t="s">
        <v>111</v>
      </c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</row>
    <row r="9" spans="1:21" x14ac:dyDescent="0.25">
      <c r="A9" s="25" t="s">
        <v>125</v>
      </c>
      <c r="B9" s="25">
        <v>528</v>
      </c>
      <c r="C9" s="25">
        <v>0</v>
      </c>
      <c r="D9" s="26">
        <v>0</v>
      </c>
      <c r="E9" s="25">
        <v>528</v>
      </c>
      <c r="F9" s="27" t="s">
        <v>111</v>
      </c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</row>
    <row r="10" spans="1:21" x14ac:dyDescent="0.25">
      <c r="A10" s="25" t="s">
        <v>401</v>
      </c>
      <c r="B10" s="25">
        <v>528</v>
      </c>
      <c r="C10" s="25">
        <v>0</v>
      </c>
      <c r="D10" s="26">
        <v>0</v>
      </c>
      <c r="E10" s="25">
        <v>528</v>
      </c>
      <c r="F10" s="27" t="s">
        <v>111</v>
      </c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</row>
    <row r="11" spans="1:21" x14ac:dyDescent="0.25">
      <c r="A11" s="25" t="s">
        <v>402</v>
      </c>
      <c r="B11" s="25">
        <v>528</v>
      </c>
      <c r="C11" s="25">
        <v>77</v>
      </c>
      <c r="D11" s="26">
        <v>0.14583333333333334</v>
      </c>
      <c r="E11" s="25">
        <v>451</v>
      </c>
      <c r="F11" s="27" t="s">
        <v>111</v>
      </c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9A7E0-273D-4056-A13A-681326846AA2}">
  <sheetPr codeName="Hoja16">
    <tabColor rgb="FF00B050"/>
  </sheetPr>
  <dimension ref="A1:U211"/>
  <sheetViews>
    <sheetView topLeftCell="A2" workbookViewId="0">
      <selection activeCell="F3" sqref="F3"/>
    </sheetView>
  </sheetViews>
  <sheetFormatPr baseColWidth="10" defaultRowHeight="15" x14ac:dyDescent="0.25"/>
  <cols>
    <col min="1" max="1" width="12" bestFit="1" customWidth="1"/>
    <col min="2" max="2" width="15.7109375" bestFit="1" customWidth="1"/>
    <col min="3" max="3" width="18.42578125" bestFit="1" customWidth="1"/>
    <col min="4" max="4" width="14.28515625" bestFit="1" customWidth="1"/>
    <col min="5" max="5" width="21.7109375" bestFit="1" customWidth="1"/>
    <col min="6" max="6" width="10.5703125" bestFit="1" customWidth="1"/>
    <col min="7" max="7" width="22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243</v>
      </c>
      <c r="B3" s="6" t="s">
        <v>165</v>
      </c>
      <c r="C3" s="6" t="s">
        <v>166</v>
      </c>
      <c r="D3" s="6" t="s">
        <v>4</v>
      </c>
      <c r="E3" s="6" t="s">
        <v>244</v>
      </c>
      <c r="F3" s="6" t="s">
        <v>245</v>
      </c>
      <c r="G3" s="6" t="s">
        <v>246</v>
      </c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2">
        <v>46097</v>
      </c>
      <c r="B4" t="s">
        <v>53</v>
      </c>
      <c r="C4" t="s">
        <v>54</v>
      </c>
      <c r="D4">
        <v>241</v>
      </c>
      <c r="E4">
        <v>1467</v>
      </c>
      <c r="F4" s="10">
        <v>6.09</v>
      </c>
    </row>
    <row r="5" spans="1:21" x14ac:dyDescent="0.25">
      <c r="A5" s="2">
        <v>46097</v>
      </c>
      <c r="B5" t="s">
        <v>403</v>
      </c>
      <c r="C5" t="s">
        <v>120</v>
      </c>
      <c r="D5">
        <v>454</v>
      </c>
      <c r="E5">
        <v>0</v>
      </c>
      <c r="F5" s="10">
        <v>0</v>
      </c>
    </row>
    <row r="6" spans="1:21" x14ac:dyDescent="0.25">
      <c r="A6" s="2">
        <v>46097</v>
      </c>
      <c r="B6" t="s">
        <v>217</v>
      </c>
      <c r="C6" t="s">
        <v>218</v>
      </c>
      <c r="D6">
        <v>518</v>
      </c>
      <c r="E6">
        <v>127</v>
      </c>
      <c r="F6" s="10">
        <v>0.25</v>
      </c>
    </row>
    <row r="7" spans="1:21" x14ac:dyDescent="0.25">
      <c r="A7" s="2">
        <v>46104</v>
      </c>
      <c r="B7" t="s">
        <v>217</v>
      </c>
      <c r="C7" t="s">
        <v>218</v>
      </c>
      <c r="D7" t="s">
        <v>259</v>
      </c>
      <c r="E7">
        <v>518</v>
      </c>
      <c r="F7">
        <v>1</v>
      </c>
      <c r="G7" t="s">
        <v>260</v>
      </c>
    </row>
    <row r="8" spans="1:21" x14ac:dyDescent="0.25">
      <c r="A8" s="2">
        <v>46104</v>
      </c>
      <c r="B8" t="s">
        <v>217</v>
      </c>
      <c r="C8" t="s">
        <v>218</v>
      </c>
      <c r="D8" t="s">
        <v>259</v>
      </c>
      <c r="E8">
        <v>518</v>
      </c>
      <c r="F8">
        <v>1</v>
      </c>
      <c r="G8" t="s">
        <v>260</v>
      </c>
    </row>
    <row r="9" spans="1:21" x14ac:dyDescent="0.25">
      <c r="A9" s="2">
        <v>46104</v>
      </c>
      <c r="B9" t="s">
        <v>217</v>
      </c>
      <c r="C9" t="s">
        <v>218</v>
      </c>
      <c r="D9" t="s">
        <v>259</v>
      </c>
      <c r="E9">
        <v>518</v>
      </c>
      <c r="F9">
        <v>1</v>
      </c>
      <c r="G9" t="s">
        <v>260</v>
      </c>
    </row>
    <row r="10" spans="1:21" x14ac:dyDescent="0.25">
      <c r="A10" s="2">
        <v>46104</v>
      </c>
      <c r="B10" t="s">
        <v>217</v>
      </c>
      <c r="C10" t="s">
        <v>218</v>
      </c>
      <c r="D10" t="s">
        <v>259</v>
      </c>
      <c r="E10">
        <v>518</v>
      </c>
      <c r="F10">
        <v>1</v>
      </c>
      <c r="G10" t="s">
        <v>260</v>
      </c>
    </row>
    <row r="11" spans="1:21" x14ac:dyDescent="0.25">
      <c r="A11" s="2">
        <v>46104</v>
      </c>
      <c r="B11" t="s">
        <v>217</v>
      </c>
      <c r="C11" t="s">
        <v>218</v>
      </c>
      <c r="D11" t="s">
        <v>259</v>
      </c>
      <c r="E11">
        <v>518</v>
      </c>
      <c r="F11">
        <v>1</v>
      </c>
      <c r="G11" t="s">
        <v>260</v>
      </c>
    </row>
    <row r="12" spans="1:21" x14ac:dyDescent="0.25">
      <c r="A12" s="2">
        <v>46104</v>
      </c>
      <c r="B12" t="s">
        <v>217</v>
      </c>
      <c r="C12" t="s">
        <v>218</v>
      </c>
      <c r="D12" t="s">
        <v>259</v>
      </c>
      <c r="E12">
        <v>518</v>
      </c>
      <c r="F12">
        <v>1</v>
      </c>
      <c r="G12" t="s">
        <v>260</v>
      </c>
    </row>
    <row r="13" spans="1:21" x14ac:dyDescent="0.25">
      <c r="A13" s="2">
        <v>46104</v>
      </c>
      <c r="B13" t="s">
        <v>217</v>
      </c>
      <c r="C13" t="s">
        <v>218</v>
      </c>
      <c r="D13" t="s">
        <v>259</v>
      </c>
      <c r="E13">
        <v>518</v>
      </c>
      <c r="F13">
        <v>1</v>
      </c>
      <c r="G13" t="s">
        <v>260</v>
      </c>
    </row>
    <row r="14" spans="1:21" x14ac:dyDescent="0.25">
      <c r="A14" s="2">
        <v>46104</v>
      </c>
      <c r="B14" t="s">
        <v>217</v>
      </c>
      <c r="C14" t="s">
        <v>218</v>
      </c>
      <c r="D14" t="s">
        <v>259</v>
      </c>
      <c r="E14">
        <v>518</v>
      </c>
      <c r="F14">
        <v>1</v>
      </c>
      <c r="G14" t="s">
        <v>260</v>
      </c>
    </row>
    <row r="15" spans="1:21" x14ac:dyDescent="0.25">
      <c r="A15" s="2">
        <v>46104</v>
      </c>
      <c r="B15" t="s">
        <v>217</v>
      </c>
      <c r="C15" t="s">
        <v>218</v>
      </c>
      <c r="D15" t="s">
        <v>259</v>
      </c>
      <c r="E15">
        <v>518</v>
      </c>
      <c r="F15">
        <v>1</v>
      </c>
      <c r="G15" t="s">
        <v>260</v>
      </c>
    </row>
    <row r="16" spans="1:21" x14ac:dyDescent="0.25">
      <c r="A16" s="2">
        <v>46104</v>
      </c>
      <c r="B16" t="s">
        <v>217</v>
      </c>
      <c r="C16" t="s">
        <v>218</v>
      </c>
      <c r="D16" t="s">
        <v>259</v>
      </c>
      <c r="E16">
        <v>518</v>
      </c>
      <c r="F16">
        <v>1</v>
      </c>
      <c r="G16" t="s">
        <v>260</v>
      </c>
    </row>
    <row r="17" spans="1:7" x14ac:dyDescent="0.25">
      <c r="A17" s="2">
        <v>46104</v>
      </c>
      <c r="B17" t="s">
        <v>217</v>
      </c>
      <c r="C17" t="s">
        <v>218</v>
      </c>
      <c r="D17" t="s">
        <v>259</v>
      </c>
      <c r="E17">
        <v>518</v>
      </c>
      <c r="F17">
        <v>1</v>
      </c>
      <c r="G17" t="s">
        <v>260</v>
      </c>
    </row>
    <row r="18" spans="1:7" x14ac:dyDescent="0.25">
      <c r="A18" s="2">
        <v>46104</v>
      </c>
      <c r="B18" t="s">
        <v>217</v>
      </c>
      <c r="C18" t="s">
        <v>218</v>
      </c>
      <c r="D18" t="s">
        <v>259</v>
      </c>
      <c r="E18">
        <v>518</v>
      </c>
      <c r="F18">
        <v>1</v>
      </c>
      <c r="G18" t="s">
        <v>260</v>
      </c>
    </row>
    <row r="19" spans="1:7" x14ac:dyDescent="0.25">
      <c r="A19" s="2">
        <v>46105</v>
      </c>
      <c r="B19" t="s">
        <v>217</v>
      </c>
      <c r="C19" t="s">
        <v>218</v>
      </c>
      <c r="D19" t="s">
        <v>259</v>
      </c>
      <c r="E19">
        <v>518</v>
      </c>
      <c r="F19">
        <v>1</v>
      </c>
      <c r="G19" t="s">
        <v>260</v>
      </c>
    </row>
    <row r="20" spans="1:7" x14ac:dyDescent="0.25">
      <c r="A20" s="2">
        <v>46105</v>
      </c>
      <c r="B20" t="s">
        <v>217</v>
      </c>
      <c r="C20" t="s">
        <v>218</v>
      </c>
      <c r="D20" t="s">
        <v>259</v>
      </c>
      <c r="E20">
        <v>518</v>
      </c>
      <c r="F20">
        <v>1</v>
      </c>
      <c r="G20" t="s">
        <v>260</v>
      </c>
    </row>
    <row r="21" spans="1:7" x14ac:dyDescent="0.25">
      <c r="A21" s="2">
        <v>46105</v>
      </c>
      <c r="B21" t="s">
        <v>217</v>
      </c>
      <c r="C21" t="s">
        <v>218</v>
      </c>
      <c r="D21" t="s">
        <v>259</v>
      </c>
      <c r="E21">
        <v>518</v>
      </c>
      <c r="F21">
        <v>1</v>
      </c>
      <c r="G21" t="s">
        <v>260</v>
      </c>
    </row>
    <row r="22" spans="1:7" x14ac:dyDescent="0.25">
      <c r="A22" s="2">
        <v>46105</v>
      </c>
      <c r="B22" t="s">
        <v>217</v>
      </c>
      <c r="C22" t="s">
        <v>218</v>
      </c>
      <c r="D22" t="s">
        <v>259</v>
      </c>
      <c r="E22">
        <v>518</v>
      </c>
      <c r="F22">
        <v>1</v>
      </c>
      <c r="G22" t="s">
        <v>260</v>
      </c>
    </row>
    <row r="23" spans="1:7" x14ac:dyDescent="0.25">
      <c r="A23" s="2">
        <v>46105</v>
      </c>
      <c r="B23" t="s">
        <v>217</v>
      </c>
      <c r="C23" t="s">
        <v>218</v>
      </c>
      <c r="D23" t="s">
        <v>259</v>
      </c>
      <c r="E23">
        <v>518</v>
      </c>
      <c r="F23">
        <v>1</v>
      </c>
      <c r="G23" t="s">
        <v>260</v>
      </c>
    </row>
    <row r="24" spans="1:7" x14ac:dyDescent="0.25">
      <c r="A24" s="2">
        <v>46105</v>
      </c>
      <c r="B24" t="s">
        <v>217</v>
      </c>
      <c r="C24" t="s">
        <v>218</v>
      </c>
      <c r="D24" t="s">
        <v>259</v>
      </c>
      <c r="E24">
        <v>518</v>
      </c>
      <c r="F24">
        <v>1</v>
      </c>
      <c r="G24" t="s">
        <v>260</v>
      </c>
    </row>
    <row r="25" spans="1:7" x14ac:dyDescent="0.25">
      <c r="A25" s="2">
        <v>46105</v>
      </c>
      <c r="B25" t="s">
        <v>217</v>
      </c>
      <c r="C25" t="s">
        <v>218</v>
      </c>
      <c r="D25" t="s">
        <v>259</v>
      </c>
      <c r="E25">
        <v>518</v>
      </c>
      <c r="F25">
        <v>1</v>
      </c>
      <c r="G25" t="s">
        <v>260</v>
      </c>
    </row>
    <row r="26" spans="1:7" x14ac:dyDescent="0.25">
      <c r="A26" s="2">
        <v>46105</v>
      </c>
      <c r="B26" t="s">
        <v>217</v>
      </c>
      <c r="C26" t="s">
        <v>218</v>
      </c>
      <c r="D26" t="s">
        <v>259</v>
      </c>
      <c r="E26">
        <v>518</v>
      </c>
      <c r="F26">
        <v>1</v>
      </c>
      <c r="G26" t="s">
        <v>260</v>
      </c>
    </row>
    <row r="27" spans="1:7" x14ac:dyDescent="0.25">
      <c r="A27" s="2">
        <v>46105</v>
      </c>
      <c r="B27" t="s">
        <v>217</v>
      </c>
      <c r="C27" t="s">
        <v>218</v>
      </c>
      <c r="D27" t="s">
        <v>259</v>
      </c>
      <c r="E27">
        <v>518</v>
      </c>
      <c r="F27">
        <v>1</v>
      </c>
      <c r="G27" t="s">
        <v>260</v>
      </c>
    </row>
    <row r="28" spans="1:7" x14ac:dyDescent="0.25">
      <c r="A28" s="2">
        <v>46105</v>
      </c>
      <c r="B28" t="s">
        <v>217</v>
      </c>
      <c r="C28" t="s">
        <v>218</v>
      </c>
      <c r="D28" t="s">
        <v>259</v>
      </c>
      <c r="E28">
        <v>518</v>
      </c>
      <c r="F28">
        <v>1</v>
      </c>
      <c r="G28" t="s">
        <v>260</v>
      </c>
    </row>
    <row r="29" spans="1:7" x14ac:dyDescent="0.25">
      <c r="A29" s="2">
        <v>46105</v>
      </c>
      <c r="B29" t="s">
        <v>217</v>
      </c>
      <c r="C29" t="s">
        <v>218</v>
      </c>
      <c r="D29" t="s">
        <v>259</v>
      </c>
      <c r="E29">
        <v>518</v>
      </c>
      <c r="F29">
        <v>1</v>
      </c>
      <c r="G29" t="s">
        <v>260</v>
      </c>
    </row>
    <row r="30" spans="1:7" x14ac:dyDescent="0.25">
      <c r="A30" s="2">
        <v>46105</v>
      </c>
      <c r="B30" t="s">
        <v>217</v>
      </c>
      <c r="C30" t="s">
        <v>218</v>
      </c>
      <c r="D30" t="s">
        <v>259</v>
      </c>
      <c r="E30">
        <v>518</v>
      </c>
      <c r="F30">
        <v>1</v>
      </c>
      <c r="G30" t="s">
        <v>260</v>
      </c>
    </row>
    <row r="31" spans="1:7" x14ac:dyDescent="0.25">
      <c r="A31" s="2">
        <v>46105</v>
      </c>
      <c r="B31" t="s">
        <v>217</v>
      </c>
      <c r="C31" t="s">
        <v>218</v>
      </c>
      <c r="D31" t="s">
        <v>259</v>
      </c>
      <c r="E31">
        <v>518</v>
      </c>
      <c r="F31">
        <v>1</v>
      </c>
      <c r="G31" t="s">
        <v>260</v>
      </c>
    </row>
    <row r="32" spans="1:7" x14ac:dyDescent="0.25">
      <c r="A32" s="2">
        <v>46105</v>
      </c>
      <c r="B32" t="s">
        <v>217</v>
      </c>
      <c r="C32" t="s">
        <v>218</v>
      </c>
      <c r="D32" t="s">
        <v>259</v>
      </c>
      <c r="E32">
        <v>518</v>
      </c>
      <c r="F32">
        <v>1</v>
      </c>
      <c r="G32" t="s">
        <v>260</v>
      </c>
    </row>
    <row r="33" spans="1:7" x14ac:dyDescent="0.25">
      <c r="A33" s="2">
        <v>46105</v>
      </c>
      <c r="B33" t="s">
        <v>217</v>
      </c>
      <c r="C33" t="s">
        <v>218</v>
      </c>
      <c r="D33" t="s">
        <v>259</v>
      </c>
      <c r="E33">
        <v>518</v>
      </c>
      <c r="F33">
        <v>1</v>
      </c>
      <c r="G33" t="s">
        <v>260</v>
      </c>
    </row>
    <row r="34" spans="1:7" x14ac:dyDescent="0.25">
      <c r="A34" s="2">
        <v>46105</v>
      </c>
      <c r="B34" t="s">
        <v>217</v>
      </c>
      <c r="C34" t="s">
        <v>218</v>
      </c>
      <c r="D34" t="s">
        <v>259</v>
      </c>
      <c r="E34">
        <v>518</v>
      </c>
      <c r="F34">
        <v>1</v>
      </c>
      <c r="G34" t="s">
        <v>260</v>
      </c>
    </row>
    <row r="35" spans="1:7" x14ac:dyDescent="0.25">
      <c r="A35" s="2">
        <v>46105</v>
      </c>
      <c r="B35" t="s">
        <v>217</v>
      </c>
      <c r="C35" t="s">
        <v>218</v>
      </c>
      <c r="D35" t="s">
        <v>259</v>
      </c>
      <c r="E35">
        <v>518</v>
      </c>
      <c r="F35">
        <v>1</v>
      </c>
      <c r="G35" t="s">
        <v>260</v>
      </c>
    </row>
    <row r="36" spans="1:7" x14ac:dyDescent="0.25">
      <c r="A36" s="2">
        <v>46105</v>
      </c>
      <c r="B36" t="s">
        <v>217</v>
      </c>
      <c r="C36" t="s">
        <v>218</v>
      </c>
      <c r="D36" t="s">
        <v>259</v>
      </c>
      <c r="E36">
        <v>518</v>
      </c>
      <c r="F36">
        <v>1</v>
      </c>
      <c r="G36" t="s">
        <v>260</v>
      </c>
    </row>
    <row r="37" spans="1:7" x14ac:dyDescent="0.25">
      <c r="A37" s="2">
        <v>46105</v>
      </c>
      <c r="B37" t="s">
        <v>217</v>
      </c>
      <c r="C37" t="s">
        <v>218</v>
      </c>
      <c r="D37" t="s">
        <v>259</v>
      </c>
      <c r="E37">
        <v>518</v>
      </c>
      <c r="F37">
        <v>1</v>
      </c>
      <c r="G37" t="s">
        <v>260</v>
      </c>
    </row>
    <row r="38" spans="1:7" x14ac:dyDescent="0.25">
      <c r="A38" s="2">
        <v>46105</v>
      </c>
      <c r="B38" t="s">
        <v>217</v>
      </c>
      <c r="C38" t="s">
        <v>218</v>
      </c>
      <c r="D38" t="s">
        <v>259</v>
      </c>
      <c r="E38">
        <v>518</v>
      </c>
      <c r="F38">
        <v>1</v>
      </c>
      <c r="G38" t="s">
        <v>260</v>
      </c>
    </row>
    <row r="39" spans="1:7" x14ac:dyDescent="0.25">
      <c r="A39" s="2">
        <v>46105</v>
      </c>
      <c r="B39" t="s">
        <v>217</v>
      </c>
      <c r="C39" t="s">
        <v>218</v>
      </c>
      <c r="D39" t="s">
        <v>259</v>
      </c>
      <c r="E39">
        <v>518</v>
      </c>
      <c r="F39">
        <v>1</v>
      </c>
      <c r="G39" t="s">
        <v>260</v>
      </c>
    </row>
    <row r="40" spans="1:7" x14ac:dyDescent="0.25">
      <c r="A40" s="2">
        <v>46105</v>
      </c>
      <c r="B40" t="s">
        <v>326</v>
      </c>
      <c r="C40" t="s">
        <v>272</v>
      </c>
      <c r="D40" t="s">
        <v>259</v>
      </c>
      <c r="E40">
        <v>289</v>
      </c>
      <c r="F40">
        <v>1</v>
      </c>
      <c r="G40" t="s">
        <v>260</v>
      </c>
    </row>
    <row r="41" spans="1:7" x14ac:dyDescent="0.25">
      <c r="A41" s="2">
        <v>46105</v>
      </c>
      <c r="B41" t="s">
        <v>326</v>
      </c>
      <c r="C41" t="s">
        <v>272</v>
      </c>
      <c r="D41" t="s">
        <v>259</v>
      </c>
      <c r="E41">
        <v>289</v>
      </c>
      <c r="F41">
        <v>1</v>
      </c>
      <c r="G41" t="s">
        <v>260</v>
      </c>
    </row>
    <row r="42" spans="1:7" x14ac:dyDescent="0.25">
      <c r="A42" s="2">
        <v>46105</v>
      </c>
      <c r="B42" t="s">
        <v>404</v>
      </c>
      <c r="C42" t="s">
        <v>261</v>
      </c>
      <c r="D42" t="s">
        <v>259</v>
      </c>
      <c r="E42">
        <v>47</v>
      </c>
      <c r="F42">
        <v>1</v>
      </c>
      <c r="G42" t="s">
        <v>260</v>
      </c>
    </row>
    <row r="43" spans="1:7" x14ac:dyDescent="0.25">
      <c r="A43" s="2">
        <v>46105</v>
      </c>
      <c r="B43" t="s">
        <v>404</v>
      </c>
      <c r="C43" t="s">
        <v>261</v>
      </c>
      <c r="D43" t="s">
        <v>259</v>
      </c>
      <c r="E43">
        <v>47</v>
      </c>
      <c r="F43">
        <v>1</v>
      </c>
      <c r="G43" t="s">
        <v>260</v>
      </c>
    </row>
    <row r="44" spans="1:7" x14ac:dyDescent="0.25">
      <c r="A44" s="2">
        <v>46105</v>
      </c>
      <c r="B44" t="s">
        <v>404</v>
      </c>
      <c r="C44" t="s">
        <v>261</v>
      </c>
      <c r="D44" t="s">
        <v>259</v>
      </c>
      <c r="E44">
        <v>47</v>
      </c>
      <c r="F44">
        <v>1</v>
      </c>
      <c r="G44" t="s">
        <v>260</v>
      </c>
    </row>
    <row r="45" spans="1:7" x14ac:dyDescent="0.25">
      <c r="A45" s="2">
        <v>46105</v>
      </c>
      <c r="B45" t="s">
        <v>404</v>
      </c>
      <c r="C45" t="s">
        <v>261</v>
      </c>
      <c r="D45" t="s">
        <v>259</v>
      </c>
      <c r="E45">
        <v>47</v>
      </c>
      <c r="F45">
        <v>1</v>
      </c>
      <c r="G45" t="s">
        <v>260</v>
      </c>
    </row>
    <row r="46" spans="1:7" x14ac:dyDescent="0.25">
      <c r="A46" s="2">
        <v>46106</v>
      </c>
      <c r="B46" t="s">
        <v>404</v>
      </c>
      <c r="C46" t="s">
        <v>261</v>
      </c>
      <c r="D46" t="s">
        <v>259</v>
      </c>
      <c r="E46">
        <v>47</v>
      </c>
      <c r="F46">
        <v>1</v>
      </c>
      <c r="G46" t="s">
        <v>260</v>
      </c>
    </row>
    <row r="47" spans="1:7" x14ac:dyDescent="0.25">
      <c r="A47" s="2">
        <v>46106</v>
      </c>
      <c r="B47" t="s">
        <v>404</v>
      </c>
      <c r="C47" t="s">
        <v>261</v>
      </c>
      <c r="D47" t="s">
        <v>259</v>
      </c>
      <c r="E47">
        <v>47</v>
      </c>
      <c r="F47">
        <v>1</v>
      </c>
      <c r="G47" t="s">
        <v>260</v>
      </c>
    </row>
    <row r="48" spans="1:7" x14ac:dyDescent="0.25">
      <c r="A48" s="2">
        <v>46106</v>
      </c>
      <c r="B48" t="s">
        <v>404</v>
      </c>
      <c r="C48" t="s">
        <v>261</v>
      </c>
      <c r="D48" t="s">
        <v>259</v>
      </c>
      <c r="E48">
        <v>47</v>
      </c>
      <c r="F48">
        <v>1</v>
      </c>
      <c r="G48" t="s">
        <v>260</v>
      </c>
    </row>
    <row r="49" spans="1:7" x14ac:dyDescent="0.25">
      <c r="A49" s="2">
        <v>46106</v>
      </c>
      <c r="B49" t="s">
        <v>404</v>
      </c>
      <c r="C49" t="s">
        <v>261</v>
      </c>
      <c r="D49" t="s">
        <v>259</v>
      </c>
      <c r="E49">
        <v>47</v>
      </c>
      <c r="F49">
        <v>1</v>
      </c>
      <c r="G49" t="s">
        <v>260</v>
      </c>
    </row>
    <row r="50" spans="1:7" x14ac:dyDescent="0.25">
      <c r="A50" s="2">
        <v>46106</v>
      </c>
      <c r="B50" t="s">
        <v>404</v>
      </c>
      <c r="C50" t="s">
        <v>261</v>
      </c>
      <c r="D50" t="s">
        <v>259</v>
      </c>
      <c r="E50">
        <v>47</v>
      </c>
      <c r="F50">
        <v>1</v>
      </c>
      <c r="G50" t="s">
        <v>260</v>
      </c>
    </row>
    <row r="51" spans="1:7" x14ac:dyDescent="0.25">
      <c r="A51" s="2">
        <v>46106</v>
      </c>
      <c r="B51" t="s">
        <v>404</v>
      </c>
      <c r="C51" t="s">
        <v>261</v>
      </c>
      <c r="D51" t="s">
        <v>259</v>
      </c>
      <c r="E51">
        <v>47</v>
      </c>
      <c r="F51">
        <v>1</v>
      </c>
      <c r="G51" t="s">
        <v>260</v>
      </c>
    </row>
    <row r="52" spans="1:7" x14ac:dyDescent="0.25">
      <c r="A52" s="2">
        <v>46106</v>
      </c>
      <c r="B52" t="s">
        <v>326</v>
      </c>
      <c r="C52" t="s">
        <v>272</v>
      </c>
      <c r="D52" t="s">
        <v>259</v>
      </c>
      <c r="E52">
        <v>289</v>
      </c>
      <c r="F52">
        <v>1</v>
      </c>
      <c r="G52" t="s">
        <v>260</v>
      </c>
    </row>
    <row r="53" spans="1:7" x14ac:dyDescent="0.25">
      <c r="A53" s="2">
        <v>46106</v>
      </c>
      <c r="B53" t="s">
        <v>326</v>
      </c>
      <c r="C53" t="s">
        <v>272</v>
      </c>
      <c r="D53" t="s">
        <v>259</v>
      </c>
      <c r="E53">
        <v>289</v>
      </c>
      <c r="F53">
        <v>1</v>
      </c>
      <c r="G53" t="s">
        <v>260</v>
      </c>
    </row>
    <row r="54" spans="1:7" x14ac:dyDescent="0.25">
      <c r="A54" s="2">
        <v>46106</v>
      </c>
      <c r="B54" t="s">
        <v>326</v>
      </c>
      <c r="C54" t="s">
        <v>272</v>
      </c>
      <c r="D54" t="s">
        <v>259</v>
      </c>
      <c r="E54">
        <v>289</v>
      </c>
      <c r="F54">
        <v>1</v>
      </c>
      <c r="G54" t="s">
        <v>260</v>
      </c>
    </row>
    <row r="55" spans="1:7" x14ac:dyDescent="0.25">
      <c r="A55" s="2">
        <v>46106</v>
      </c>
      <c r="B55" t="s">
        <v>326</v>
      </c>
      <c r="C55" t="s">
        <v>272</v>
      </c>
      <c r="D55" t="s">
        <v>259</v>
      </c>
      <c r="E55">
        <v>289</v>
      </c>
      <c r="F55">
        <v>1</v>
      </c>
      <c r="G55" t="s">
        <v>260</v>
      </c>
    </row>
    <row r="56" spans="1:7" x14ac:dyDescent="0.25">
      <c r="A56" s="2">
        <v>46106</v>
      </c>
      <c r="B56" t="s">
        <v>326</v>
      </c>
      <c r="C56" t="s">
        <v>272</v>
      </c>
      <c r="D56" t="s">
        <v>259</v>
      </c>
      <c r="E56">
        <v>289</v>
      </c>
      <c r="F56">
        <v>1</v>
      </c>
      <c r="G56" t="s">
        <v>260</v>
      </c>
    </row>
    <row r="57" spans="1:7" x14ac:dyDescent="0.25">
      <c r="A57" s="2">
        <v>46106</v>
      </c>
      <c r="B57" t="s">
        <v>326</v>
      </c>
      <c r="C57" t="s">
        <v>272</v>
      </c>
      <c r="D57" t="s">
        <v>259</v>
      </c>
      <c r="E57">
        <v>289</v>
      </c>
      <c r="F57">
        <v>1</v>
      </c>
      <c r="G57" t="s">
        <v>260</v>
      </c>
    </row>
    <row r="58" spans="1:7" x14ac:dyDescent="0.25">
      <c r="A58" s="2">
        <v>46106</v>
      </c>
      <c r="B58" t="s">
        <v>326</v>
      </c>
      <c r="C58" t="s">
        <v>272</v>
      </c>
      <c r="D58" t="s">
        <v>259</v>
      </c>
      <c r="E58">
        <v>289</v>
      </c>
      <c r="F58">
        <v>1</v>
      </c>
      <c r="G58" t="s">
        <v>260</v>
      </c>
    </row>
    <row r="59" spans="1:7" x14ac:dyDescent="0.25">
      <c r="A59" s="2">
        <v>46106</v>
      </c>
      <c r="B59" t="s">
        <v>326</v>
      </c>
      <c r="C59" t="s">
        <v>272</v>
      </c>
      <c r="D59" t="s">
        <v>259</v>
      </c>
      <c r="E59">
        <v>289</v>
      </c>
      <c r="F59">
        <v>1</v>
      </c>
      <c r="G59" t="s">
        <v>260</v>
      </c>
    </row>
    <row r="60" spans="1:7" x14ac:dyDescent="0.25">
      <c r="A60" s="2">
        <v>46107</v>
      </c>
      <c r="B60" t="s">
        <v>326</v>
      </c>
      <c r="C60" t="s">
        <v>272</v>
      </c>
      <c r="D60" t="s">
        <v>259</v>
      </c>
      <c r="E60">
        <v>289</v>
      </c>
      <c r="F60">
        <v>1</v>
      </c>
      <c r="G60" t="s">
        <v>260</v>
      </c>
    </row>
    <row r="61" spans="1:7" x14ac:dyDescent="0.25">
      <c r="A61" s="2">
        <v>46107</v>
      </c>
      <c r="B61" t="s">
        <v>326</v>
      </c>
      <c r="C61" t="s">
        <v>272</v>
      </c>
      <c r="D61" t="s">
        <v>259</v>
      </c>
      <c r="E61">
        <v>289</v>
      </c>
      <c r="F61">
        <v>1</v>
      </c>
      <c r="G61" t="s">
        <v>260</v>
      </c>
    </row>
    <row r="62" spans="1:7" x14ac:dyDescent="0.25">
      <c r="A62" s="2">
        <v>46107</v>
      </c>
      <c r="B62" t="s">
        <v>326</v>
      </c>
      <c r="C62" t="s">
        <v>272</v>
      </c>
      <c r="D62" t="s">
        <v>259</v>
      </c>
      <c r="E62">
        <v>289</v>
      </c>
      <c r="F62">
        <v>1</v>
      </c>
      <c r="G62" t="s">
        <v>260</v>
      </c>
    </row>
    <row r="63" spans="1:7" x14ac:dyDescent="0.25">
      <c r="A63" s="2">
        <v>46107</v>
      </c>
      <c r="B63" t="s">
        <v>326</v>
      </c>
      <c r="C63" t="s">
        <v>272</v>
      </c>
      <c r="D63" t="s">
        <v>259</v>
      </c>
      <c r="E63">
        <v>289</v>
      </c>
      <c r="F63">
        <v>1</v>
      </c>
      <c r="G63" t="s">
        <v>260</v>
      </c>
    </row>
    <row r="64" spans="1:7" x14ac:dyDescent="0.25">
      <c r="A64" s="2">
        <v>46107</v>
      </c>
      <c r="B64" t="s">
        <v>326</v>
      </c>
      <c r="C64" t="s">
        <v>272</v>
      </c>
      <c r="D64" t="s">
        <v>259</v>
      </c>
      <c r="E64">
        <v>289</v>
      </c>
      <c r="F64">
        <v>1</v>
      </c>
      <c r="G64" t="s">
        <v>260</v>
      </c>
    </row>
    <row r="65" spans="1:7" x14ac:dyDescent="0.25">
      <c r="A65" s="2">
        <v>46107</v>
      </c>
      <c r="B65" t="s">
        <v>326</v>
      </c>
      <c r="C65" t="s">
        <v>272</v>
      </c>
      <c r="D65" t="s">
        <v>259</v>
      </c>
      <c r="E65">
        <v>289</v>
      </c>
      <c r="F65">
        <v>1</v>
      </c>
      <c r="G65" t="s">
        <v>260</v>
      </c>
    </row>
    <row r="66" spans="1:7" x14ac:dyDescent="0.25">
      <c r="A66" s="2">
        <v>46107</v>
      </c>
      <c r="B66" t="s">
        <v>326</v>
      </c>
      <c r="C66" t="s">
        <v>272</v>
      </c>
      <c r="D66" t="s">
        <v>259</v>
      </c>
      <c r="E66">
        <v>289</v>
      </c>
      <c r="F66">
        <v>1</v>
      </c>
      <c r="G66" t="s">
        <v>260</v>
      </c>
    </row>
    <row r="67" spans="1:7" x14ac:dyDescent="0.25">
      <c r="A67" s="2">
        <v>46108</v>
      </c>
      <c r="B67" t="s">
        <v>326</v>
      </c>
      <c r="C67" t="s">
        <v>272</v>
      </c>
      <c r="D67" t="s">
        <v>259</v>
      </c>
      <c r="E67">
        <v>289</v>
      </c>
      <c r="F67">
        <v>1</v>
      </c>
      <c r="G67" t="s">
        <v>260</v>
      </c>
    </row>
    <row r="68" spans="1:7" x14ac:dyDescent="0.25">
      <c r="A68" s="2">
        <v>46108</v>
      </c>
      <c r="B68" t="s">
        <v>326</v>
      </c>
      <c r="C68" t="s">
        <v>272</v>
      </c>
      <c r="D68" t="s">
        <v>259</v>
      </c>
      <c r="E68">
        <v>289</v>
      </c>
      <c r="F68">
        <v>1</v>
      </c>
      <c r="G68" t="s">
        <v>260</v>
      </c>
    </row>
    <row r="69" spans="1:7" x14ac:dyDescent="0.25">
      <c r="A69" s="2">
        <v>46108</v>
      </c>
      <c r="B69" t="s">
        <v>326</v>
      </c>
      <c r="C69" t="s">
        <v>272</v>
      </c>
      <c r="D69" t="s">
        <v>259</v>
      </c>
      <c r="E69">
        <v>289</v>
      </c>
      <c r="F69">
        <v>1</v>
      </c>
      <c r="G69" t="s">
        <v>260</v>
      </c>
    </row>
    <row r="70" spans="1:7" x14ac:dyDescent="0.25">
      <c r="A70" s="2">
        <v>46108</v>
      </c>
      <c r="B70" t="s">
        <v>326</v>
      </c>
      <c r="C70" t="s">
        <v>272</v>
      </c>
      <c r="D70" t="s">
        <v>259</v>
      </c>
      <c r="E70">
        <v>289</v>
      </c>
      <c r="F70">
        <v>1</v>
      </c>
      <c r="G70" t="s">
        <v>260</v>
      </c>
    </row>
    <row r="71" spans="1:7" x14ac:dyDescent="0.25">
      <c r="A71" s="2">
        <v>46116</v>
      </c>
      <c r="B71" t="s">
        <v>53</v>
      </c>
      <c r="C71" t="s">
        <v>54</v>
      </c>
      <c r="D71" t="s">
        <v>259</v>
      </c>
      <c r="E71">
        <v>241</v>
      </c>
      <c r="F71">
        <v>1</v>
      </c>
      <c r="G71" t="s">
        <v>260</v>
      </c>
    </row>
    <row r="72" spans="1:7" x14ac:dyDescent="0.25">
      <c r="A72" s="2">
        <v>46117</v>
      </c>
      <c r="B72" t="s">
        <v>326</v>
      </c>
      <c r="C72" t="s">
        <v>272</v>
      </c>
      <c r="D72" t="s">
        <v>259</v>
      </c>
      <c r="E72">
        <v>289</v>
      </c>
      <c r="F72">
        <v>1</v>
      </c>
      <c r="G72" t="s">
        <v>260</v>
      </c>
    </row>
    <row r="73" spans="1:7" x14ac:dyDescent="0.25">
      <c r="A73" s="2">
        <v>46117</v>
      </c>
      <c r="B73" t="s">
        <v>326</v>
      </c>
      <c r="C73" t="s">
        <v>272</v>
      </c>
      <c r="D73" t="s">
        <v>259</v>
      </c>
      <c r="E73">
        <v>289</v>
      </c>
      <c r="F73">
        <v>1</v>
      </c>
      <c r="G73" t="s">
        <v>260</v>
      </c>
    </row>
    <row r="74" spans="1:7" x14ac:dyDescent="0.25">
      <c r="A74" s="2">
        <v>46117</v>
      </c>
      <c r="B74" t="s">
        <v>326</v>
      </c>
      <c r="C74" t="s">
        <v>272</v>
      </c>
      <c r="D74" t="s">
        <v>259</v>
      </c>
      <c r="E74">
        <v>289</v>
      </c>
      <c r="F74">
        <v>1</v>
      </c>
      <c r="G74" t="s">
        <v>260</v>
      </c>
    </row>
    <row r="75" spans="1:7" x14ac:dyDescent="0.25">
      <c r="A75" s="2">
        <v>46117</v>
      </c>
      <c r="B75" t="s">
        <v>326</v>
      </c>
      <c r="C75" t="s">
        <v>272</v>
      </c>
      <c r="D75" t="s">
        <v>259</v>
      </c>
      <c r="E75">
        <v>289</v>
      </c>
      <c r="F75">
        <v>1</v>
      </c>
      <c r="G75" t="s">
        <v>260</v>
      </c>
    </row>
    <row r="76" spans="1:7" x14ac:dyDescent="0.25">
      <c r="A76" s="2">
        <v>46117</v>
      </c>
      <c r="B76" t="s">
        <v>326</v>
      </c>
      <c r="C76" t="s">
        <v>272</v>
      </c>
      <c r="D76" t="s">
        <v>259</v>
      </c>
      <c r="E76">
        <v>289</v>
      </c>
      <c r="F76">
        <v>1</v>
      </c>
      <c r="G76" t="s">
        <v>260</v>
      </c>
    </row>
    <row r="77" spans="1:7" x14ac:dyDescent="0.25">
      <c r="A77" s="2">
        <v>46117</v>
      </c>
      <c r="B77" t="s">
        <v>326</v>
      </c>
      <c r="C77" t="s">
        <v>272</v>
      </c>
      <c r="D77" t="s">
        <v>259</v>
      </c>
      <c r="E77">
        <v>289</v>
      </c>
      <c r="F77">
        <v>1</v>
      </c>
      <c r="G77" t="s">
        <v>260</v>
      </c>
    </row>
    <row r="78" spans="1:7" x14ac:dyDescent="0.25">
      <c r="A78" s="2">
        <v>46117</v>
      </c>
      <c r="B78" t="s">
        <v>326</v>
      </c>
      <c r="C78" t="s">
        <v>272</v>
      </c>
      <c r="D78" t="s">
        <v>259</v>
      </c>
      <c r="E78">
        <v>289</v>
      </c>
      <c r="F78">
        <v>1</v>
      </c>
      <c r="G78" t="s">
        <v>260</v>
      </c>
    </row>
    <row r="79" spans="1:7" x14ac:dyDescent="0.25">
      <c r="A79" s="2">
        <v>46117</v>
      </c>
      <c r="B79" t="s">
        <v>326</v>
      </c>
      <c r="C79" t="s">
        <v>272</v>
      </c>
      <c r="D79" t="s">
        <v>259</v>
      </c>
      <c r="E79">
        <v>289</v>
      </c>
      <c r="F79">
        <v>1</v>
      </c>
      <c r="G79" t="s">
        <v>260</v>
      </c>
    </row>
    <row r="80" spans="1:7" x14ac:dyDescent="0.25">
      <c r="A80" s="2">
        <v>46117</v>
      </c>
      <c r="B80" t="s">
        <v>326</v>
      </c>
      <c r="C80" t="s">
        <v>272</v>
      </c>
      <c r="D80" t="s">
        <v>259</v>
      </c>
      <c r="E80">
        <v>289</v>
      </c>
      <c r="F80">
        <v>1</v>
      </c>
      <c r="G80" t="s">
        <v>260</v>
      </c>
    </row>
    <row r="81" spans="1:7" x14ac:dyDescent="0.25">
      <c r="A81" s="2">
        <v>46117</v>
      </c>
      <c r="B81" t="s">
        <v>326</v>
      </c>
      <c r="C81" t="s">
        <v>272</v>
      </c>
      <c r="D81" t="s">
        <v>259</v>
      </c>
      <c r="E81">
        <v>289</v>
      </c>
      <c r="F81">
        <v>1</v>
      </c>
      <c r="G81" t="s">
        <v>260</v>
      </c>
    </row>
    <row r="82" spans="1:7" x14ac:dyDescent="0.25">
      <c r="A82" s="2">
        <v>46117</v>
      </c>
      <c r="B82" t="s">
        <v>326</v>
      </c>
      <c r="C82" t="s">
        <v>272</v>
      </c>
      <c r="D82" t="s">
        <v>259</v>
      </c>
      <c r="E82">
        <v>289</v>
      </c>
      <c r="F82">
        <v>1</v>
      </c>
      <c r="G82" t="s">
        <v>260</v>
      </c>
    </row>
    <row r="83" spans="1:7" x14ac:dyDescent="0.25">
      <c r="A83" s="2">
        <v>46117</v>
      </c>
      <c r="B83" t="s">
        <v>326</v>
      </c>
      <c r="C83" t="s">
        <v>272</v>
      </c>
      <c r="D83" t="s">
        <v>259</v>
      </c>
      <c r="E83">
        <v>289</v>
      </c>
      <c r="F83">
        <v>1</v>
      </c>
      <c r="G83" t="s">
        <v>260</v>
      </c>
    </row>
    <row r="84" spans="1:7" x14ac:dyDescent="0.25">
      <c r="A84" s="2">
        <v>46117</v>
      </c>
      <c r="B84" t="s">
        <v>326</v>
      </c>
      <c r="C84" t="s">
        <v>272</v>
      </c>
      <c r="D84" t="s">
        <v>259</v>
      </c>
      <c r="E84">
        <v>289</v>
      </c>
      <c r="F84">
        <v>1</v>
      </c>
      <c r="G84" t="s">
        <v>260</v>
      </c>
    </row>
    <row r="85" spans="1:7" x14ac:dyDescent="0.25">
      <c r="A85" s="2">
        <v>46117</v>
      </c>
      <c r="B85" t="s">
        <v>326</v>
      </c>
      <c r="C85" t="s">
        <v>272</v>
      </c>
      <c r="D85" t="s">
        <v>259</v>
      </c>
      <c r="E85">
        <v>289</v>
      </c>
      <c r="F85">
        <v>1</v>
      </c>
      <c r="G85" t="s">
        <v>260</v>
      </c>
    </row>
    <row r="86" spans="1:7" x14ac:dyDescent="0.25">
      <c r="A86" s="2">
        <v>46117</v>
      </c>
      <c r="B86" t="s">
        <v>326</v>
      </c>
      <c r="C86" t="s">
        <v>272</v>
      </c>
      <c r="D86" t="s">
        <v>259</v>
      </c>
      <c r="E86">
        <v>289</v>
      </c>
      <c r="F86">
        <v>1</v>
      </c>
      <c r="G86" t="s">
        <v>260</v>
      </c>
    </row>
    <row r="87" spans="1:7" x14ac:dyDescent="0.25">
      <c r="A87" s="2">
        <v>46117</v>
      </c>
      <c r="B87" t="s">
        <v>326</v>
      </c>
      <c r="C87" t="s">
        <v>272</v>
      </c>
      <c r="D87" t="s">
        <v>259</v>
      </c>
      <c r="E87">
        <v>289</v>
      </c>
      <c r="F87">
        <v>1</v>
      </c>
      <c r="G87" t="s">
        <v>260</v>
      </c>
    </row>
    <row r="88" spans="1:7" x14ac:dyDescent="0.25">
      <c r="A88" s="2">
        <v>46117</v>
      </c>
      <c r="B88" t="s">
        <v>326</v>
      </c>
      <c r="C88" t="s">
        <v>272</v>
      </c>
      <c r="D88" t="s">
        <v>259</v>
      </c>
      <c r="E88">
        <v>289</v>
      </c>
      <c r="F88">
        <v>1</v>
      </c>
      <c r="G88" t="s">
        <v>260</v>
      </c>
    </row>
    <row r="89" spans="1:7" x14ac:dyDescent="0.25">
      <c r="A89" s="2">
        <v>46117</v>
      </c>
      <c r="B89" t="s">
        <v>326</v>
      </c>
      <c r="C89" t="s">
        <v>272</v>
      </c>
      <c r="D89" t="s">
        <v>259</v>
      </c>
      <c r="E89">
        <v>289</v>
      </c>
      <c r="F89">
        <v>1</v>
      </c>
      <c r="G89" t="s">
        <v>260</v>
      </c>
    </row>
    <row r="90" spans="1:7" x14ac:dyDescent="0.25">
      <c r="A90" s="2">
        <v>46117</v>
      </c>
      <c r="B90" t="s">
        <v>326</v>
      </c>
      <c r="C90" t="s">
        <v>272</v>
      </c>
      <c r="D90" t="s">
        <v>259</v>
      </c>
      <c r="E90">
        <v>289</v>
      </c>
      <c r="F90">
        <v>1</v>
      </c>
      <c r="G90" t="s">
        <v>260</v>
      </c>
    </row>
    <row r="91" spans="1:7" x14ac:dyDescent="0.25">
      <c r="A91" s="2">
        <v>46117</v>
      </c>
      <c r="B91" t="s">
        <v>326</v>
      </c>
      <c r="C91" t="s">
        <v>272</v>
      </c>
      <c r="D91" t="s">
        <v>259</v>
      </c>
      <c r="E91">
        <v>289</v>
      </c>
      <c r="F91">
        <v>1</v>
      </c>
      <c r="G91" t="s">
        <v>260</v>
      </c>
    </row>
    <row r="92" spans="1:7" x14ac:dyDescent="0.25">
      <c r="A92" s="2">
        <v>46117</v>
      </c>
      <c r="B92" t="s">
        <v>326</v>
      </c>
      <c r="C92" t="s">
        <v>272</v>
      </c>
      <c r="D92" t="s">
        <v>259</v>
      </c>
      <c r="E92">
        <v>289</v>
      </c>
      <c r="F92">
        <v>1</v>
      </c>
      <c r="G92" t="s">
        <v>260</v>
      </c>
    </row>
    <row r="93" spans="1:7" x14ac:dyDescent="0.25">
      <c r="A93" s="2">
        <v>46117</v>
      </c>
      <c r="B93" t="s">
        <v>326</v>
      </c>
      <c r="C93" t="s">
        <v>272</v>
      </c>
      <c r="D93" t="s">
        <v>259</v>
      </c>
      <c r="E93">
        <v>289</v>
      </c>
      <c r="F93">
        <v>1</v>
      </c>
      <c r="G93" t="s">
        <v>260</v>
      </c>
    </row>
    <row r="94" spans="1:7" x14ac:dyDescent="0.25">
      <c r="A94" s="2">
        <v>46117</v>
      </c>
      <c r="B94" t="s">
        <v>326</v>
      </c>
      <c r="C94" t="s">
        <v>272</v>
      </c>
      <c r="D94" t="s">
        <v>259</v>
      </c>
      <c r="E94">
        <v>289</v>
      </c>
      <c r="F94">
        <v>1</v>
      </c>
      <c r="G94" t="s">
        <v>260</v>
      </c>
    </row>
    <row r="95" spans="1:7" x14ac:dyDescent="0.25">
      <c r="A95" s="2">
        <v>46117</v>
      </c>
      <c r="B95" t="s">
        <v>326</v>
      </c>
      <c r="C95" t="s">
        <v>272</v>
      </c>
      <c r="D95" t="s">
        <v>259</v>
      </c>
      <c r="E95">
        <v>289</v>
      </c>
      <c r="F95">
        <v>1</v>
      </c>
      <c r="G95" t="s">
        <v>260</v>
      </c>
    </row>
    <row r="96" spans="1:7" x14ac:dyDescent="0.25">
      <c r="A96" s="2">
        <v>46117</v>
      </c>
      <c r="B96" t="s">
        <v>326</v>
      </c>
      <c r="C96" t="s">
        <v>272</v>
      </c>
      <c r="D96" t="s">
        <v>259</v>
      </c>
      <c r="E96">
        <v>289</v>
      </c>
      <c r="F96">
        <v>1</v>
      </c>
      <c r="G96" t="s">
        <v>260</v>
      </c>
    </row>
    <row r="97" spans="1:7" x14ac:dyDescent="0.25">
      <c r="A97" s="2">
        <v>46117</v>
      </c>
      <c r="B97" t="s">
        <v>326</v>
      </c>
      <c r="C97" t="s">
        <v>272</v>
      </c>
      <c r="D97" t="s">
        <v>259</v>
      </c>
      <c r="E97">
        <v>289</v>
      </c>
      <c r="F97">
        <v>1</v>
      </c>
      <c r="G97" t="s">
        <v>260</v>
      </c>
    </row>
    <row r="98" spans="1:7" x14ac:dyDescent="0.25">
      <c r="A98" s="2">
        <v>46117</v>
      </c>
      <c r="B98" t="s">
        <v>326</v>
      </c>
      <c r="C98" t="s">
        <v>272</v>
      </c>
      <c r="D98" t="s">
        <v>259</v>
      </c>
      <c r="E98">
        <v>289</v>
      </c>
      <c r="F98">
        <v>1</v>
      </c>
      <c r="G98" t="s">
        <v>260</v>
      </c>
    </row>
    <row r="99" spans="1:7" x14ac:dyDescent="0.25">
      <c r="A99" s="2">
        <v>46117</v>
      </c>
      <c r="B99" t="s">
        <v>326</v>
      </c>
      <c r="C99" t="s">
        <v>272</v>
      </c>
      <c r="D99" t="s">
        <v>259</v>
      </c>
      <c r="E99">
        <v>289</v>
      </c>
      <c r="F99">
        <v>1</v>
      </c>
      <c r="G99" t="s">
        <v>260</v>
      </c>
    </row>
    <row r="100" spans="1:7" x14ac:dyDescent="0.25">
      <c r="A100" s="2">
        <v>46117</v>
      </c>
      <c r="B100" t="s">
        <v>298</v>
      </c>
      <c r="C100" t="s">
        <v>299</v>
      </c>
      <c r="D100" t="s">
        <v>259</v>
      </c>
      <c r="E100">
        <v>120</v>
      </c>
      <c r="F100">
        <v>1</v>
      </c>
      <c r="G100" t="s">
        <v>260</v>
      </c>
    </row>
    <row r="101" spans="1:7" x14ac:dyDescent="0.25">
      <c r="A101" s="2">
        <v>46117</v>
      </c>
      <c r="B101" t="s">
        <v>298</v>
      </c>
      <c r="C101" t="s">
        <v>299</v>
      </c>
      <c r="D101" t="s">
        <v>259</v>
      </c>
      <c r="E101">
        <v>120</v>
      </c>
      <c r="F101">
        <v>1</v>
      </c>
      <c r="G101" t="s">
        <v>260</v>
      </c>
    </row>
    <row r="102" spans="1:7" x14ac:dyDescent="0.25">
      <c r="A102" s="2">
        <v>46117</v>
      </c>
      <c r="B102" t="s">
        <v>298</v>
      </c>
      <c r="C102" t="s">
        <v>299</v>
      </c>
      <c r="D102" t="s">
        <v>259</v>
      </c>
      <c r="E102">
        <v>120</v>
      </c>
      <c r="F102">
        <v>1</v>
      </c>
      <c r="G102" t="s">
        <v>260</v>
      </c>
    </row>
    <row r="103" spans="1:7" x14ac:dyDescent="0.25">
      <c r="A103" s="2">
        <v>46118</v>
      </c>
      <c r="B103" t="s">
        <v>298</v>
      </c>
      <c r="C103" t="s">
        <v>299</v>
      </c>
      <c r="D103" t="s">
        <v>259</v>
      </c>
      <c r="E103">
        <v>120</v>
      </c>
      <c r="F103">
        <v>1</v>
      </c>
      <c r="G103" t="s">
        <v>260</v>
      </c>
    </row>
    <row r="104" spans="1:7" x14ac:dyDescent="0.25">
      <c r="A104" s="2">
        <v>46118</v>
      </c>
      <c r="B104" t="s">
        <v>298</v>
      </c>
      <c r="C104" t="s">
        <v>299</v>
      </c>
      <c r="D104" t="s">
        <v>259</v>
      </c>
      <c r="E104">
        <v>120</v>
      </c>
      <c r="F104">
        <v>1</v>
      </c>
      <c r="G104" t="s">
        <v>260</v>
      </c>
    </row>
    <row r="105" spans="1:7" x14ac:dyDescent="0.25">
      <c r="A105" s="2">
        <v>46118</v>
      </c>
      <c r="B105" t="s">
        <v>298</v>
      </c>
      <c r="C105" t="s">
        <v>299</v>
      </c>
      <c r="D105" t="s">
        <v>259</v>
      </c>
      <c r="E105">
        <v>120</v>
      </c>
      <c r="F105">
        <v>1</v>
      </c>
      <c r="G105" t="s">
        <v>260</v>
      </c>
    </row>
    <row r="106" spans="1:7" x14ac:dyDescent="0.25">
      <c r="A106" s="2">
        <v>46118</v>
      </c>
      <c r="B106" t="s">
        <v>298</v>
      </c>
      <c r="C106" t="s">
        <v>299</v>
      </c>
      <c r="D106" t="s">
        <v>259</v>
      </c>
      <c r="E106">
        <v>120</v>
      </c>
      <c r="F106">
        <v>1</v>
      </c>
      <c r="G106" t="s">
        <v>260</v>
      </c>
    </row>
    <row r="107" spans="1:7" x14ac:dyDescent="0.25">
      <c r="A107" s="2">
        <v>46118</v>
      </c>
      <c r="B107" t="s">
        <v>298</v>
      </c>
      <c r="C107" t="s">
        <v>299</v>
      </c>
      <c r="D107" t="s">
        <v>259</v>
      </c>
      <c r="E107">
        <v>120</v>
      </c>
      <c r="F107">
        <v>1</v>
      </c>
      <c r="G107" t="s">
        <v>260</v>
      </c>
    </row>
    <row r="108" spans="1:7" x14ac:dyDescent="0.25">
      <c r="A108" s="2">
        <v>46118</v>
      </c>
      <c r="B108" t="s">
        <v>298</v>
      </c>
      <c r="C108" t="s">
        <v>299</v>
      </c>
      <c r="D108" t="s">
        <v>259</v>
      </c>
      <c r="E108">
        <v>120</v>
      </c>
      <c r="F108">
        <v>1</v>
      </c>
      <c r="G108" t="s">
        <v>260</v>
      </c>
    </row>
    <row r="109" spans="1:7" x14ac:dyDescent="0.25">
      <c r="A109" s="2">
        <v>46118</v>
      </c>
      <c r="B109" t="s">
        <v>298</v>
      </c>
      <c r="C109" t="s">
        <v>299</v>
      </c>
      <c r="D109" t="s">
        <v>259</v>
      </c>
      <c r="E109">
        <v>120</v>
      </c>
      <c r="F109">
        <v>1</v>
      </c>
      <c r="G109" t="s">
        <v>260</v>
      </c>
    </row>
    <row r="110" spans="1:7" x14ac:dyDescent="0.25">
      <c r="A110" s="2">
        <v>46118</v>
      </c>
      <c r="B110" t="s">
        <v>298</v>
      </c>
      <c r="C110" t="s">
        <v>299</v>
      </c>
      <c r="D110" t="s">
        <v>259</v>
      </c>
      <c r="E110">
        <v>120</v>
      </c>
      <c r="F110">
        <v>1</v>
      </c>
      <c r="G110" t="s">
        <v>260</v>
      </c>
    </row>
    <row r="111" spans="1:7" x14ac:dyDescent="0.25">
      <c r="A111" s="2">
        <v>46118</v>
      </c>
      <c r="B111" t="s">
        <v>298</v>
      </c>
      <c r="C111" t="s">
        <v>299</v>
      </c>
      <c r="D111" t="s">
        <v>259</v>
      </c>
      <c r="E111">
        <v>120</v>
      </c>
      <c r="F111">
        <v>1</v>
      </c>
      <c r="G111" t="s">
        <v>260</v>
      </c>
    </row>
    <row r="112" spans="1:7" x14ac:dyDescent="0.25">
      <c r="A112" s="2">
        <v>46118</v>
      </c>
      <c r="B112" t="s">
        <v>298</v>
      </c>
      <c r="C112" t="s">
        <v>299</v>
      </c>
      <c r="D112" t="s">
        <v>259</v>
      </c>
      <c r="E112">
        <v>120</v>
      </c>
      <c r="F112">
        <v>1</v>
      </c>
      <c r="G112" t="s">
        <v>260</v>
      </c>
    </row>
    <row r="113" spans="1:7" x14ac:dyDescent="0.25">
      <c r="A113" s="2">
        <v>46118</v>
      </c>
      <c r="B113" t="s">
        <v>298</v>
      </c>
      <c r="C113" t="s">
        <v>299</v>
      </c>
      <c r="D113" t="s">
        <v>259</v>
      </c>
      <c r="E113">
        <v>120</v>
      </c>
      <c r="F113">
        <v>1</v>
      </c>
      <c r="G113" t="s">
        <v>260</v>
      </c>
    </row>
    <row r="114" spans="1:7" x14ac:dyDescent="0.25">
      <c r="A114" s="2">
        <v>46118</v>
      </c>
      <c r="B114" t="s">
        <v>298</v>
      </c>
      <c r="C114" t="s">
        <v>299</v>
      </c>
      <c r="D114" t="s">
        <v>259</v>
      </c>
      <c r="E114">
        <v>120</v>
      </c>
      <c r="F114">
        <v>1</v>
      </c>
      <c r="G114" t="s">
        <v>260</v>
      </c>
    </row>
    <row r="115" spans="1:7" x14ac:dyDescent="0.25">
      <c r="A115" s="2">
        <v>46118</v>
      </c>
      <c r="B115" t="s">
        <v>298</v>
      </c>
      <c r="C115" t="s">
        <v>299</v>
      </c>
      <c r="D115" t="s">
        <v>259</v>
      </c>
      <c r="E115">
        <v>120</v>
      </c>
      <c r="F115">
        <v>1</v>
      </c>
      <c r="G115" t="s">
        <v>260</v>
      </c>
    </row>
    <row r="116" spans="1:7" x14ac:dyDescent="0.25">
      <c r="A116" s="2">
        <v>46118</v>
      </c>
      <c r="B116" t="s">
        <v>298</v>
      </c>
      <c r="C116" t="s">
        <v>299</v>
      </c>
      <c r="D116" t="s">
        <v>259</v>
      </c>
      <c r="E116">
        <v>120</v>
      </c>
      <c r="F116">
        <v>1</v>
      </c>
      <c r="G116" t="s">
        <v>260</v>
      </c>
    </row>
    <row r="117" spans="1:7" x14ac:dyDescent="0.25">
      <c r="A117" s="2">
        <v>46118</v>
      </c>
      <c r="B117" t="s">
        <v>298</v>
      </c>
      <c r="C117" t="s">
        <v>299</v>
      </c>
      <c r="D117" t="s">
        <v>259</v>
      </c>
      <c r="E117">
        <v>120</v>
      </c>
      <c r="F117">
        <v>1</v>
      </c>
      <c r="G117" t="s">
        <v>260</v>
      </c>
    </row>
    <row r="118" spans="1:7" x14ac:dyDescent="0.25">
      <c r="A118" s="2">
        <v>46118</v>
      </c>
      <c r="B118" t="s">
        <v>298</v>
      </c>
      <c r="C118" t="s">
        <v>299</v>
      </c>
      <c r="D118" t="s">
        <v>259</v>
      </c>
      <c r="E118">
        <v>120</v>
      </c>
      <c r="F118">
        <v>1</v>
      </c>
      <c r="G118" t="s">
        <v>260</v>
      </c>
    </row>
    <row r="119" spans="1:7" x14ac:dyDescent="0.25">
      <c r="A119" s="2">
        <v>46118</v>
      </c>
      <c r="B119" t="s">
        <v>298</v>
      </c>
      <c r="C119" t="s">
        <v>299</v>
      </c>
      <c r="D119" t="s">
        <v>259</v>
      </c>
      <c r="E119">
        <v>120</v>
      </c>
      <c r="F119">
        <v>1</v>
      </c>
      <c r="G119" t="s">
        <v>260</v>
      </c>
    </row>
    <row r="120" spans="1:7" x14ac:dyDescent="0.25">
      <c r="A120" s="2">
        <v>46118</v>
      </c>
      <c r="B120" t="s">
        <v>298</v>
      </c>
      <c r="C120" t="s">
        <v>299</v>
      </c>
      <c r="D120" t="s">
        <v>259</v>
      </c>
      <c r="E120">
        <v>120</v>
      </c>
      <c r="F120">
        <v>1</v>
      </c>
      <c r="G120" t="s">
        <v>260</v>
      </c>
    </row>
    <row r="121" spans="1:7" x14ac:dyDescent="0.25">
      <c r="A121" s="2">
        <v>46118</v>
      </c>
      <c r="B121" t="s">
        <v>298</v>
      </c>
      <c r="C121" t="s">
        <v>299</v>
      </c>
      <c r="D121" t="s">
        <v>259</v>
      </c>
      <c r="E121">
        <v>120</v>
      </c>
      <c r="F121">
        <v>1</v>
      </c>
      <c r="G121" t="s">
        <v>260</v>
      </c>
    </row>
    <row r="122" spans="1:7" x14ac:dyDescent="0.25">
      <c r="A122" s="2">
        <v>46118</v>
      </c>
      <c r="B122" t="s">
        <v>298</v>
      </c>
      <c r="C122" t="s">
        <v>299</v>
      </c>
      <c r="D122" t="s">
        <v>259</v>
      </c>
      <c r="E122">
        <v>120</v>
      </c>
      <c r="F122">
        <v>1</v>
      </c>
      <c r="G122" t="s">
        <v>260</v>
      </c>
    </row>
    <row r="123" spans="1:7" x14ac:dyDescent="0.25">
      <c r="A123" s="2">
        <v>46118</v>
      </c>
      <c r="B123" t="s">
        <v>298</v>
      </c>
      <c r="C123" t="s">
        <v>299</v>
      </c>
      <c r="D123" t="s">
        <v>259</v>
      </c>
      <c r="E123">
        <v>120</v>
      </c>
      <c r="F123">
        <v>1</v>
      </c>
      <c r="G123" t="s">
        <v>260</v>
      </c>
    </row>
    <row r="124" spans="1:7" x14ac:dyDescent="0.25">
      <c r="A124" s="2">
        <v>46118</v>
      </c>
      <c r="B124" t="s">
        <v>298</v>
      </c>
      <c r="C124" t="s">
        <v>299</v>
      </c>
      <c r="D124" t="s">
        <v>259</v>
      </c>
      <c r="E124">
        <v>120</v>
      </c>
      <c r="F124">
        <v>1</v>
      </c>
      <c r="G124" t="s">
        <v>260</v>
      </c>
    </row>
    <row r="125" spans="1:7" x14ac:dyDescent="0.25">
      <c r="A125" s="2">
        <v>46118</v>
      </c>
      <c r="B125" t="s">
        <v>298</v>
      </c>
      <c r="C125" t="s">
        <v>299</v>
      </c>
      <c r="D125" t="s">
        <v>259</v>
      </c>
      <c r="E125">
        <v>120</v>
      </c>
      <c r="F125">
        <v>1</v>
      </c>
      <c r="G125" t="s">
        <v>260</v>
      </c>
    </row>
    <row r="126" spans="1:7" x14ac:dyDescent="0.25">
      <c r="A126" s="2">
        <v>46118</v>
      </c>
      <c r="B126" t="s">
        <v>298</v>
      </c>
      <c r="C126" t="s">
        <v>299</v>
      </c>
      <c r="D126" t="s">
        <v>259</v>
      </c>
      <c r="E126">
        <v>120</v>
      </c>
      <c r="F126">
        <v>1</v>
      </c>
      <c r="G126" t="s">
        <v>260</v>
      </c>
    </row>
    <row r="127" spans="1:7" x14ac:dyDescent="0.25">
      <c r="A127" s="2">
        <v>46118</v>
      </c>
      <c r="B127" t="s">
        <v>298</v>
      </c>
      <c r="C127" t="s">
        <v>299</v>
      </c>
      <c r="D127" t="s">
        <v>259</v>
      </c>
      <c r="E127">
        <v>120</v>
      </c>
      <c r="F127">
        <v>1</v>
      </c>
      <c r="G127" t="s">
        <v>260</v>
      </c>
    </row>
    <row r="128" spans="1:7" x14ac:dyDescent="0.25">
      <c r="A128" s="2">
        <v>46118</v>
      </c>
      <c r="B128" t="s">
        <v>298</v>
      </c>
      <c r="C128" t="s">
        <v>299</v>
      </c>
      <c r="D128" t="s">
        <v>259</v>
      </c>
      <c r="E128">
        <v>120</v>
      </c>
      <c r="F128">
        <v>1</v>
      </c>
      <c r="G128" t="s">
        <v>260</v>
      </c>
    </row>
    <row r="129" spans="1:7" x14ac:dyDescent="0.25">
      <c r="A129" s="2">
        <v>46118</v>
      </c>
      <c r="B129" t="s">
        <v>298</v>
      </c>
      <c r="C129" t="s">
        <v>299</v>
      </c>
      <c r="D129" t="s">
        <v>259</v>
      </c>
      <c r="E129">
        <v>120</v>
      </c>
      <c r="F129">
        <v>1</v>
      </c>
      <c r="G129" t="s">
        <v>260</v>
      </c>
    </row>
    <row r="130" spans="1:7" x14ac:dyDescent="0.25">
      <c r="A130" s="2">
        <v>46118</v>
      </c>
      <c r="B130" t="s">
        <v>298</v>
      </c>
      <c r="C130" t="s">
        <v>299</v>
      </c>
      <c r="D130" t="s">
        <v>259</v>
      </c>
      <c r="E130">
        <v>120</v>
      </c>
      <c r="F130">
        <v>1</v>
      </c>
      <c r="G130" t="s">
        <v>260</v>
      </c>
    </row>
    <row r="131" spans="1:7" x14ac:dyDescent="0.25">
      <c r="A131" s="2">
        <v>46118</v>
      </c>
      <c r="B131" t="s">
        <v>298</v>
      </c>
      <c r="C131" t="s">
        <v>299</v>
      </c>
      <c r="D131" t="s">
        <v>259</v>
      </c>
      <c r="E131">
        <v>120</v>
      </c>
      <c r="F131">
        <v>1</v>
      </c>
      <c r="G131" t="s">
        <v>260</v>
      </c>
    </row>
    <row r="132" spans="1:7" x14ac:dyDescent="0.25">
      <c r="A132" s="2">
        <v>46118</v>
      </c>
      <c r="B132" t="s">
        <v>298</v>
      </c>
      <c r="C132" t="s">
        <v>299</v>
      </c>
      <c r="D132" t="s">
        <v>259</v>
      </c>
      <c r="E132">
        <v>120</v>
      </c>
      <c r="F132">
        <v>1</v>
      </c>
      <c r="G132" t="s">
        <v>260</v>
      </c>
    </row>
    <row r="133" spans="1:7" x14ac:dyDescent="0.25">
      <c r="A133" s="2">
        <v>46118</v>
      </c>
      <c r="B133" t="s">
        <v>298</v>
      </c>
      <c r="C133" t="s">
        <v>299</v>
      </c>
      <c r="D133" t="s">
        <v>259</v>
      </c>
      <c r="E133">
        <v>120</v>
      </c>
      <c r="F133">
        <v>1</v>
      </c>
      <c r="G133" t="s">
        <v>260</v>
      </c>
    </row>
    <row r="134" spans="1:7" x14ac:dyDescent="0.25">
      <c r="A134" s="2">
        <v>46118</v>
      </c>
      <c r="B134" t="s">
        <v>298</v>
      </c>
      <c r="C134" t="s">
        <v>299</v>
      </c>
      <c r="D134" t="s">
        <v>259</v>
      </c>
      <c r="E134">
        <v>120</v>
      </c>
      <c r="F134">
        <v>1</v>
      </c>
      <c r="G134" t="s">
        <v>260</v>
      </c>
    </row>
    <row r="135" spans="1:7" x14ac:dyDescent="0.25">
      <c r="A135" s="2">
        <v>46118</v>
      </c>
      <c r="B135" t="s">
        <v>298</v>
      </c>
      <c r="C135" t="s">
        <v>299</v>
      </c>
      <c r="D135" t="s">
        <v>259</v>
      </c>
      <c r="E135">
        <v>120</v>
      </c>
      <c r="F135">
        <v>1</v>
      </c>
      <c r="G135" t="s">
        <v>260</v>
      </c>
    </row>
    <row r="136" spans="1:7" x14ac:dyDescent="0.25">
      <c r="A136" s="2">
        <v>46118</v>
      </c>
      <c r="B136" t="s">
        <v>298</v>
      </c>
      <c r="C136" t="s">
        <v>299</v>
      </c>
      <c r="D136" t="s">
        <v>259</v>
      </c>
      <c r="E136">
        <v>120</v>
      </c>
      <c r="F136">
        <v>1</v>
      </c>
      <c r="G136" t="s">
        <v>260</v>
      </c>
    </row>
    <row r="137" spans="1:7" x14ac:dyDescent="0.25">
      <c r="A137" s="2">
        <v>46118</v>
      </c>
      <c r="B137" t="s">
        <v>298</v>
      </c>
      <c r="C137" t="s">
        <v>299</v>
      </c>
      <c r="D137" t="s">
        <v>259</v>
      </c>
      <c r="E137">
        <v>120</v>
      </c>
      <c r="F137">
        <v>1</v>
      </c>
      <c r="G137" t="s">
        <v>260</v>
      </c>
    </row>
    <row r="138" spans="1:7" x14ac:dyDescent="0.25">
      <c r="A138" s="2">
        <v>46118</v>
      </c>
      <c r="B138" t="s">
        <v>298</v>
      </c>
      <c r="C138" t="s">
        <v>299</v>
      </c>
      <c r="D138" t="s">
        <v>259</v>
      </c>
      <c r="E138">
        <v>120</v>
      </c>
      <c r="F138">
        <v>1</v>
      </c>
      <c r="G138" t="s">
        <v>260</v>
      </c>
    </row>
    <row r="139" spans="1:7" x14ac:dyDescent="0.25">
      <c r="A139" s="2">
        <v>46118</v>
      </c>
      <c r="B139" t="s">
        <v>298</v>
      </c>
      <c r="C139" t="s">
        <v>299</v>
      </c>
      <c r="D139" t="s">
        <v>259</v>
      </c>
      <c r="E139">
        <v>120</v>
      </c>
      <c r="F139">
        <v>1</v>
      </c>
      <c r="G139" t="s">
        <v>260</v>
      </c>
    </row>
    <row r="140" spans="1:7" x14ac:dyDescent="0.25">
      <c r="A140" s="2">
        <v>46118</v>
      </c>
      <c r="B140" t="s">
        <v>298</v>
      </c>
      <c r="C140" t="s">
        <v>299</v>
      </c>
      <c r="D140" t="s">
        <v>259</v>
      </c>
      <c r="E140">
        <v>120</v>
      </c>
      <c r="F140">
        <v>1</v>
      </c>
      <c r="G140" t="s">
        <v>260</v>
      </c>
    </row>
    <row r="141" spans="1:7" x14ac:dyDescent="0.25">
      <c r="A141" s="2">
        <v>46118</v>
      </c>
      <c r="B141" t="s">
        <v>298</v>
      </c>
      <c r="C141" t="s">
        <v>299</v>
      </c>
      <c r="D141" t="s">
        <v>259</v>
      </c>
      <c r="E141">
        <v>120</v>
      </c>
      <c r="F141">
        <v>1</v>
      </c>
      <c r="G141" t="s">
        <v>260</v>
      </c>
    </row>
    <row r="142" spans="1:7" x14ac:dyDescent="0.25">
      <c r="A142" s="2">
        <v>46118</v>
      </c>
      <c r="B142" t="s">
        <v>298</v>
      </c>
      <c r="C142" t="s">
        <v>299</v>
      </c>
      <c r="D142" t="s">
        <v>259</v>
      </c>
      <c r="E142">
        <v>120</v>
      </c>
      <c r="F142">
        <v>1</v>
      </c>
      <c r="G142" t="s">
        <v>260</v>
      </c>
    </row>
    <row r="143" spans="1:7" x14ac:dyDescent="0.25">
      <c r="A143" s="2">
        <v>46118</v>
      </c>
      <c r="B143" t="s">
        <v>298</v>
      </c>
      <c r="C143" t="s">
        <v>299</v>
      </c>
      <c r="D143" t="s">
        <v>259</v>
      </c>
      <c r="E143">
        <v>120</v>
      </c>
      <c r="F143">
        <v>1</v>
      </c>
      <c r="G143" t="s">
        <v>260</v>
      </c>
    </row>
    <row r="144" spans="1:7" x14ac:dyDescent="0.25">
      <c r="A144" s="2">
        <v>46118</v>
      </c>
      <c r="B144" t="s">
        <v>298</v>
      </c>
      <c r="C144" t="s">
        <v>299</v>
      </c>
      <c r="D144" t="s">
        <v>259</v>
      </c>
      <c r="E144">
        <v>120</v>
      </c>
      <c r="F144">
        <v>1</v>
      </c>
      <c r="G144" t="s">
        <v>260</v>
      </c>
    </row>
    <row r="145" spans="1:7" x14ac:dyDescent="0.25">
      <c r="A145" s="2">
        <v>46118</v>
      </c>
      <c r="B145" t="s">
        <v>298</v>
      </c>
      <c r="C145" t="s">
        <v>299</v>
      </c>
      <c r="D145" t="s">
        <v>259</v>
      </c>
      <c r="E145">
        <v>120</v>
      </c>
      <c r="F145">
        <v>1</v>
      </c>
      <c r="G145" t="s">
        <v>260</v>
      </c>
    </row>
    <row r="146" spans="1:7" x14ac:dyDescent="0.25">
      <c r="A146" s="2">
        <v>46118</v>
      </c>
      <c r="B146" t="s">
        <v>298</v>
      </c>
      <c r="C146" t="s">
        <v>299</v>
      </c>
      <c r="D146" t="s">
        <v>259</v>
      </c>
      <c r="E146">
        <v>120</v>
      </c>
      <c r="F146">
        <v>1</v>
      </c>
      <c r="G146" t="s">
        <v>260</v>
      </c>
    </row>
    <row r="147" spans="1:7" x14ac:dyDescent="0.25">
      <c r="A147" s="2">
        <v>46118</v>
      </c>
      <c r="B147" t="s">
        <v>298</v>
      </c>
      <c r="C147" t="s">
        <v>299</v>
      </c>
      <c r="D147" t="s">
        <v>259</v>
      </c>
      <c r="E147">
        <v>120</v>
      </c>
      <c r="F147">
        <v>1</v>
      </c>
      <c r="G147" t="s">
        <v>260</v>
      </c>
    </row>
    <row r="148" spans="1:7" x14ac:dyDescent="0.25">
      <c r="A148" s="2">
        <v>46118</v>
      </c>
      <c r="B148" t="s">
        <v>298</v>
      </c>
      <c r="C148" t="s">
        <v>299</v>
      </c>
      <c r="D148" t="s">
        <v>259</v>
      </c>
      <c r="E148">
        <v>120</v>
      </c>
      <c r="F148">
        <v>1</v>
      </c>
      <c r="G148" t="s">
        <v>260</v>
      </c>
    </row>
    <row r="149" spans="1:7" x14ac:dyDescent="0.25">
      <c r="A149" s="2">
        <v>46118</v>
      </c>
      <c r="B149" t="s">
        <v>298</v>
      </c>
      <c r="C149" t="s">
        <v>299</v>
      </c>
      <c r="D149" t="s">
        <v>259</v>
      </c>
      <c r="E149">
        <v>120</v>
      </c>
      <c r="F149">
        <v>1</v>
      </c>
      <c r="G149" t="s">
        <v>260</v>
      </c>
    </row>
    <row r="150" spans="1:7" x14ac:dyDescent="0.25">
      <c r="A150" s="2">
        <v>46118</v>
      </c>
      <c r="B150" t="s">
        <v>298</v>
      </c>
      <c r="C150" t="s">
        <v>299</v>
      </c>
      <c r="D150" t="s">
        <v>259</v>
      </c>
      <c r="E150">
        <v>120</v>
      </c>
      <c r="F150">
        <v>1</v>
      </c>
      <c r="G150" t="s">
        <v>260</v>
      </c>
    </row>
    <row r="151" spans="1:7" x14ac:dyDescent="0.25">
      <c r="A151" s="2">
        <v>46118</v>
      </c>
      <c r="B151" t="s">
        <v>298</v>
      </c>
      <c r="C151" t="s">
        <v>299</v>
      </c>
      <c r="D151" t="s">
        <v>259</v>
      </c>
      <c r="E151">
        <v>120</v>
      </c>
      <c r="F151">
        <v>1</v>
      </c>
      <c r="G151" t="s">
        <v>260</v>
      </c>
    </row>
    <row r="152" spans="1:7" x14ac:dyDescent="0.25">
      <c r="A152" s="2">
        <v>46118</v>
      </c>
      <c r="B152" t="s">
        <v>298</v>
      </c>
      <c r="C152" t="s">
        <v>299</v>
      </c>
      <c r="D152" t="s">
        <v>259</v>
      </c>
      <c r="E152">
        <v>120</v>
      </c>
      <c r="F152">
        <v>1</v>
      </c>
      <c r="G152" t="s">
        <v>260</v>
      </c>
    </row>
    <row r="153" spans="1:7" x14ac:dyDescent="0.25">
      <c r="A153" s="2">
        <v>46118</v>
      </c>
      <c r="B153" t="s">
        <v>298</v>
      </c>
      <c r="C153" t="s">
        <v>299</v>
      </c>
      <c r="D153" t="s">
        <v>259</v>
      </c>
      <c r="E153">
        <v>120</v>
      </c>
      <c r="F153">
        <v>1</v>
      </c>
      <c r="G153" t="s">
        <v>260</v>
      </c>
    </row>
    <row r="154" spans="1:7" x14ac:dyDescent="0.25">
      <c r="A154" s="2">
        <v>46118</v>
      </c>
      <c r="B154" t="s">
        <v>298</v>
      </c>
      <c r="C154" t="s">
        <v>299</v>
      </c>
      <c r="D154" t="s">
        <v>259</v>
      </c>
      <c r="E154">
        <v>120</v>
      </c>
      <c r="F154">
        <v>1</v>
      </c>
      <c r="G154" t="s">
        <v>260</v>
      </c>
    </row>
    <row r="155" spans="1:7" x14ac:dyDescent="0.25">
      <c r="A155" s="2">
        <v>46118</v>
      </c>
      <c r="B155" t="s">
        <v>298</v>
      </c>
      <c r="C155" t="s">
        <v>299</v>
      </c>
      <c r="D155" t="s">
        <v>259</v>
      </c>
      <c r="E155">
        <v>120</v>
      </c>
      <c r="F155">
        <v>1</v>
      </c>
      <c r="G155" t="s">
        <v>260</v>
      </c>
    </row>
    <row r="156" spans="1:7" x14ac:dyDescent="0.25">
      <c r="A156" s="2">
        <v>46118</v>
      </c>
      <c r="B156" t="s">
        <v>298</v>
      </c>
      <c r="C156" t="s">
        <v>299</v>
      </c>
      <c r="D156" t="s">
        <v>259</v>
      </c>
      <c r="E156">
        <v>120</v>
      </c>
      <c r="F156">
        <v>1</v>
      </c>
      <c r="G156" t="s">
        <v>260</v>
      </c>
    </row>
    <row r="157" spans="1:7" x14ac:dyDescent="0.25">
      <c r="A157" s="2">
        <v>46118</v>
      </c>
      <c r="B157" t="s">
        <v>298</v>
      </c>
      <c r="C157" t="s">
        <v>299</v>
      </c>
      <c r="D157" t="s">
        <v>259</v>
      </c>
      <c r="E157">
        <v>120</v>
      </c>
      <c r="F157">
        <v>1</v>
      </c>
      <c r="G157" t="s">
        <v>260</v>
      </c>
    </row>
    <row r="158" spans="1:7" x14ac:dyDescent="0.25">
      <c r="A158" s="2">
        <v>46118</v>
      </c>
      <c r="B158" t="s">
        <v>298</v>
      </c>
      <c r="C158" t="s">
        <v>299</v>
      </c>
      <c r="D158" t="s">
        <v>259</v>
      </c>
      <c r="E158">
        <v>120</v>
      </c>
      <c r="F158">
        <v>1</v>
      </c>
      <c r="G158" t="s">
        <v>260</v>
      </c>
    </row>
    <row r="159" spans="1:7" x14ac:dyDescent="0.25">
      <c r="A159" s="2">
        <v>46118</v>
      </c>
      <c r="B159" t="s">
        <v>298</v>
      </c>
      <c r="C159" t="s">
        <v>299</v>
      </c>
      <c r="D159" t="s">
        <v>259</v>
      </c>
      <c r="E159">
        <v>120</v>
      </c>
      <c r="F159">
        <v>1</v>
      </c>
      <c r="G159" t="s">
        <v>260</v>
      </c>
    </row>
    <row r="160" spans="1:7" x14ac:dyDescent="0.25">
      <c r="A160" s="2">
        <v>46118</v>
      </c>
      <c r="B160" t="s">
        <v>298</v>
      </c>
      <c r="C160" t="s">
        <v>299</v>
      </c>
      <c r="D160" t="s">
        <v>259</v>
      </c>
      <c r="E160">
        <v>120</v>
      </c>
      <c r="F160">
        <v>1</v>
      </c>
      <c r="G160" t="s">
        <v>260</v>
      </c>
    </row>
    <row r="161" spans="1:7" x14ac:dyDescent="0.25">
      <c r="A161" s="2">
        <v>46118</v>
      </c>
      <c r="B161" t="s">
        <v>298</v>
      </c>
      <c r="C161" t="s">
        <v>299</v>
      </c>
      <c r="D161" t="s">
        <v>259</v>
      </c>
      <c r="E161">
        <v>120</v>
      </c>
      <c r="F161">
        <v>1</v>
      </c>
      <c r="G161" t="s">
        <v>260</v>
      </c>
    </row>
    <row r="162" spans="1:7" x14ac:dyDescent="0.25">
      <c r="A162" s="2">
        <v>46119</v>
      </c>
      <c r="B162" t="s">
        <v>329</v>
      </c>
      <c r="C162" t="s">
        <v>330</v>
      </c>
      <c r="D162" t="s">
        <v>259</v>
      </c>
      <c r="E162">
        <v>234</v>
      </c>
      <c r="F162">
        <v>1</v>
      </c>
      <c r="G162" t="s">
        <v>260</v>
      </c>
    </row>
    <row r="163" spans="1:7" x14ac:dyDescent="0.25">
      <c r="A163" s="2">
        <v>46120</v>
      </c>
      <c r="B163" t="s">
        <v>329</v>
      </c>
      <c r="C163" t="s">
        <v>330</v>
      </c>
      <c r="D163" t="s">
        <v>259</v>
      </c>
      <c r="E163">
        <v>234</v>
      </c>
      <c r="F163">
        <v>1</v>
      </c>
      <c r="G163" t="s">
        <v>260</v>
      </c>
    </row>
    <row r="164" spans="1:7" x14ac:dyDescent="0.25">
      <c r="A164" s="2">
        <v>46120</v>
      </c>
      <c r="B164" t="s">
        <v>329</v>
      </c>
      <c r="C164" t="s">
        <v>330</v>
      </c>
      <c r="D164" t="s">
        <v>259</v>
      </c>
      <c r="E164">
        <v>234</v>
      </c>
      <c r="F164">
        <v>1</v>
      </c>
      <c r="G164" t="s">
        <v>260</v>
      </c>
    </row>
    <row r="165" spans="1:7" x14ac:dyDescent="0.25">
      <c r="A165" s="2">
        <v>46120</v>
      </c>
      <c r="B165" t="s">
        <v>329</v>
      </c>
      <c r="C165" t="s">
        <v>330</v>
      </c>
      <c r="D165" t="s">
        <v>259</v>
      </c>
      <c r="E165">
        <v>234</v>
      </c>
      <c r="F165">
        <v>1</v>
      </c>
      <c r="G165" t="s">
        <v>260</v>
      </c>
    </row>
    <row r="166" spans="1:7" x14ac:dyDescent="0.25">
      <c r="A166" s="2">
        <v>46120</v>
      </c>
      <c r="B166" t="s">
        <v>329</v>
      </c>
      <c r="C166" t="s">
        <v>330</v>
      </c>
      <c r="D166" t="s">
        <v>259</v>
      </c>
      <c r="E166">
        <v>234</v>
      </c>
      <c r="F166">
        <v>1</v>
      </c>
      <c r="G166" t="s">
        <v>260</v>
      </c>
    </row>
    <row r="167" spans="1:7" x14ac:dyDescent="0.25">
      <c r="A167" s="2">
        <v>46120</v>
      </c>
      <c r="B167" t="s">
        <v>329</v>
      </c>
      <c r="C167" t="s">
        <v>330</v>
      </c>
      <c r="D167" t="s">
        <v>259</v>
      </c>
      <c r="E167">
        <v>234</v>
      </c>
      <c r="F167">
        <v>1</v>
      </c>
      <c r="G167" t="s">
        <v>260</v>
      </c>
    </row>
    <row r="168" spans="1:7" x14ac:dyDescent="0.25">
      <c r="A168" s="2">
        <v>46120</v>
      </c>
      <c r="B168" t="s">
        <v>329</v>
      </c>
      <c r="C168" t="s">
        <v>330</v>
      </c>
      <c r="D168" t="s">
        <v>259</v>
      </c>
      <c r="E168">
        <v>234</v>
      </c>
      <c r="F168">
        <v>1</v>
      </c>
      <c r="G168" t="s">
        <v>260</v>
      </c>
    </row>
    <row r="169" spans="1:7" x14ac:dyDescent="0.25">
      <c r="A169" s="2">
        <v>46120</v>
      </c>
      <c r="B169" t="s">
        <v>329</v>
      </c>
      <c r="C169" t="s">
        <v>330</v>
      </c>
      <c r="D169" t="s">
        <v>259</v>
      </c>
      <c r="E169">
        <v>234</v>
      </c>
      <c r="F169">
        <v>1</v>
      </c>
      <c r="G169" t="s">
        <v>260</v>
      </c>
    </row>
    <row r="170" spans="1:7" x14ac:dyDescent="0.25">
      <c r="A170" s="2">
        <v>46120</v>
      </c>
      <c r="B170" t="s">
        <v>329</v>
      </c>
      <c r="C170" t="s">
        <v>330</v>
      </c>
      <c r="D170" t="s">
        <v>259</v>
      </c>
      <c r="E170">
        <v>234</v>
      </c>
      <c r="F170">
        <v>1</v>
      </c>
      <c r="G170" t="s">
        <v>260</v>
      </c>
    </row>
    <row r="171" spans="1:7" x14ac:dyDescent="0.25">
      <c r="A171" s="2">
        <v>46120</v>
      </c>
      <c r="B171" t="s">
        <v>329</v>
      </c>
      <c r="C171" t="s">
        <v>330</v>
      </c>
      <c r="D171" t="s">
        <v>259</v>
      </c>
      <c r="E171">
        <v>234</v>
      </c>
      <c r="F171">
        <v>1</v>
      </c>
      <c r="G171" t="s">
        <v>260</v>
      </c>
    </row>
    <row r="172" spans="1:7" x14ac:dyDescent="0.25">
      <c r="A172" s="2">
        <v>46120</v>
      </c>
      <c r="B172" t="s">
        <v>329</v>
      </c>
      <c r="C172" t="s">
        <v>330</v>
      </c>
      <c r="D172" t="s">
        <v>259</v>
      </c>
      <c r="E172">
        <v>234</v>
      </c>
      <c r="F172">
        <v>1</v>
      </c>
      <c r="G172" t="s">
        <v>260</v>
      </c>
    </row>
    <row r="173" spans="1:7" x14ac:dyDescent="0.25">
      <c r="A173" s="2">
        <v>46120</v>
      </c>
      <c r="B173" t="s">
        <v>329</v>
      </c>
      <c r="C173" t="s">
        <v>330</v>
      </c>
      <c r="D173" t="s">
        <v>259</v>
      </c>
      <c r="E173">
        <v>234</v>
      </c>
      <c r="F173">
        <v>1</v>
      </c>
      <c r="G173" t="s">
        <v>260</v>
      </c>
    </row>
    <row r="174" spans="1:7" x14ac:dyDescent="0.25">
      <c r="A174" s="2">
        <v>46120</v>
      </c>
      <c r="B174" t="s">
        <v>329</v>
      </c>
      <c r="C174" t="s">
        <v>330</v>
      </c>
      <c r="D174" t="s">
        <v>259</v>
      </c>
      <c r="E174">
        <v>234</v>
      </c>
      <c r="F174">
        <v>1</v>
      </c>
      <c r="G174" t="s">
        <v>260</v>
      </c>
    </row>
    <row r="175" spans="1:7" x14ac:dyDescent="0.25">
      <c r="A175" s="2">
        <v>46120</v>
      </c>
      <c r="B175" t="s">
        <v>329</v>
      </c>
      <c r="C175" t="s">
        <v>330</v>
      </c>
      <c r="D175" t="s">
        <v>259</v>
      </c>
      <c r="E175">
        <v>234</v>
      </c>
      <c r="F175">
        <v>1</v>
      </c>
      <c r="G175" t="s">
        <v>260</v>
      </c>
    </row>
    <row r="176" spans="1:7" x14ac:dyDescent="0.25">
      <c r="A176" s="2">
        <v>46120</v>
      </c>
      <c r="B176" t="s">
        <v>329</v>
      </c>
      <c r="C176" t="s">
        <v>330</v>
      </c>
      <c r="D176" t="s">
        <v>259</v>
      </c>
      <c r="E176">
        <v>234</v>
      </c>
      <c r="F176">
        <v>1</v>
      </c>
      <c r="G176" t="s">
        <v>260</v>
      </c>
    </row>
    <row r="177" spans="1:7" x14ac:dyDescent="0.25">
      <c r="A177" s="2">
        <v>46120</v>
      </c>
      <c r="B177" t="s">
        <v>329</v>
      </c>
      <c r="C177" t="s">
        <v>330</v>
      </c>
      <c r="D177" t="s">
        <v>259</v>
      </c>
      <c r="E177">
        <v>234</v>
      </c>
      <c r="F177">
        <v>1</v>
      </c>
      <c r="G177" t="s">
        <v>260</v>
      </c>
    </row>
    <row r="178" spans="1:7" x14ac:dyDescent="0.25">
      <c r="A178" s="2">
        <v>46120</v>
      </c>
      <c r="B178" t="s">
        <v>329</v>
      </c>
      <c r="C178" t="s">
        <v>330</v>
      </c>
      <c r="D178" t="s">
        <v>259</v>
      </c>
      <c r="E178">
        <v>234</v>
      </c>
      <c r="F178">
        <v>1</v>
      </c>
      <c r="G178" t="s">
        <v>260</v>
      </c>
    </row>
    <row r="179" spans="1:7" x14ac:dyDescent="0.25">
      <c r="A179" s="2">
        <v>46120</v>
      </c>
      <c r="B179" t="s">
        <v>329</v>
      </c>
      <c r="C179" t="s">
        <v>330</v>
      </c>
      <c r="D179" t="s">
        <v>259</v>
      </c>
      <c r="E179">
        <v>234</v>
      </c>
      <c r="F179">
        <v>1</v>
      </c>
      <c r="G179" t="s">
        <v>260</v>
      </c>
    </row>
    <row r="180" spans="1:7" x14ac:dyDescent="0.25">
      <c r="A180" s="2">
        <v>46120</v>
      </c>
      <c r="B180" t="s">
        <v>329</v>
      </c>
      <c r="C180" t="s">
        <v>330</v>
      </c>
      <c r="D180" t="s">
        <v>259</v>
      </c>
      <c r="E180">
        <v>234</v>
      </c>
      <c r="F180">
        <v>1</v>
      </c>
      <c r="G180" t="s">
        <v>260</v>
      </c>
    </row>
    <row r="181" spans="1:7" x14ac:dyDescent="0.25">
      <c r="A181" s="2">
        <v>46120</v>
      </c>
      <c r="B181" t="s">
        <v>329</v>
      </c>
      <c r="C181" t="s">
        <v>330</v>
      </c>
      <c r="D181" t="s">
        <v>259</v>
      </c>
      <c r="E181">
        <v>234</v>
      </c>
      <c r="F181">
        <v>1</v>
      </c>
      <c r="G181" t="s">
        <v>260</v>
      </c>
    </row>
    <row r="182" spans="1:7" x14ac:dyDescent="0.25">
      <c r="A182" s="2">
        <v>46120</v>
      </c>
      <c r="B182" t="s">
        <v>329</v>
      </c>
      <c r="C182" t="s">
        <v>330</v>
      </c>
      <c r="D182" t="s">
        <v>259</v>
      </c>
      <c r="E182">
        <v>234</v>
      </c>
      <c r="F182">
        <v>1</v>
      </c>
      <c r="G182" t="s">
        <v>260</v>
      </c>
    </row>
    <row r="183" spans="1:7" x14ac:dyDescent="0.25">
      <c r="A183" s="2">
        <v>46121</v>
      </c>
      <c r="B183" t="s">
        <v>329</v>
      </c>
      <c r="C183" t="s">
        <v>330</v>
      </c>
      <c r="D183" t="s">
        <v>259</v>
      </c>
      <c r="E183">
        <v>234</v>
      </c>
      <c r="F183">
        <v>1</v>
      </c>
      <c r="G183" t="s">
        <v>260</v>
      </c>
    </row>
    <row r="184" spans="1:7" x14ac:dyDescent="0.25">
      <c r="A184" s="2">
        <v>46121</v>
      </c>
      <c r="B184" t="s">
        <v>329</v>
      </c>
      <c r="C184" t="s">
        <v>330</v>
      </c>
      <c r="D184" t="s">
        <v>259</v>
      </c>
      <c r="E184">
        <v>234</v>
      </c>
      <c r="F184">
        <v>1</v>
      </c>
      <c r="G184" t="s">
        <v>260</v>
      </c>
    </row>
    <row r="185" spans="1:7" x14ac:dyDescent="0.25">
      <c r="A185" s="2">
        <v>46121</v>
      </c>
      <c r="B185" t="s">
        <v>329</v>
      </c>
      <c r="C185" t="s">
        <v>330</v>
      </c>
      <c r="D185" t="s">
        <v>259</v>
      </c>
      <c r="E185">
        <v>234</v>
      </c>
      <c r="F185">
        <v>1</v>
      </c>
      <c r="G185" t="s">
        <v>260</v>
      </c>
    </row>
    <row r="186" spans="1:7" x14ac:dyDescent="0.25">
      <c r="A186" s="2">
        <v>46121</v>
      </c>
      <c r="B186" t="s">
        <v>329</v>
      </c>
      <c r="C186" t="s">
        <v>330</v>
      </c>
      <c r="D186" t="s">
        <v>259</v>
      </c>
      <c r="E186">
        <v>234</v>
      </c>
      <c r="F186">
        <v>1</v>
      </c>
      <c r="G186" t="s">
        <v>260</v>
      </c>
    </row>
    <row r="187" spans="1:7" x14ac:dyDescent="0.25">
      <c r="A187" s="2">
        <v>46121</v>
      </c>
      <c r="B187" t="s">
        <v>329</v>
      </c>
      <c r="C187" t="s">
        <v>330</v>
      </c>
      <c r="D187" t="s">
        <v>259</v>
      </c>
      <c r="E187">
        <v>234</v>
      </c>
      <c r="F187">
        <v>1</v>
      </c>
      <c r="G187" t="s">
        <v>260</v>
      </c>
    </row>
    <row r="188" spans="1:7" x14ac:dyDescent="0.25">
      <c r="A188" s="2">
        <v>46121</v>
      </c>
      <c r="B188" t="s">
        <v>329</v>
      </c>
      <c r="C188" t="s">
        <v>330</v>
      </c>
      <c r="D188" t="s">
        <v>259</v>
      </c>
      <c r="E188">
        <v>234</v>
      </c>
      <c r="F188">
        <v>1</v>
      </c>
      <c r="G188" t="s">
        <v>260</v>
      </c>
    </row>
    <row r="189" spans="1:7" x14ac:dyDescent="0.25">
      <c r="A189" s="2">
        <v>46121</v>
      </c>
      <c r="B189" t="s">
        <v>329</v>
      </c>
      <c r="C189" t="s">
        <v>330</v>
      </c>
      <c r="D189" t="s">
        <v>259</v>
      </c>
      <c r="E189">
        <v>234</v>
      </c>
      <c r="F189">
        <v>1</v>
      </c>
      <c r="G189" t="s">
        <v>260</v>
      </c>
    </row>
    <row r="190" spans="1:7" x14ac:dyDescent="0.25">
      <c r="A190" s="2">
        <v>46121</v>
      </c>
      <c r="B190" t="s">
        <v>329</v>
      </c>
      <c r="C190" t="s">
        <v>330</v>
      </c>
      <c r="D190" t="s">
        <v>259</v>
      </c>
      <c r="E190">
        <v>234</v>
      </c>
      <c r="F190">
        <v>1</v>
      </c>
      <c r="G190" t="s">
        <v>260</v>
      </c>
    </row>
    <row r="191" spans="1:7" x14ac:dyDescent="0.25">
      <c r="A191" s="2">
        <v>46121</v>
      </c>
      <c r="B191" t="s">
        <v>329</v>
      </c>
      <c r="C191" t="s">
        <v>330</v>
      </c>
      <c r="D191" t="s">
        <v>259</v>
      </c>
      <c r="E191">
        <v>234</v>
      </c>
      <c r="F191">
        <v>1</v>
      </c>
      <c r="G191" t="s">
        <v>260</v>
      </c>
    </row>
    <row r="192" spans="1:7" x14ac:dyDescent="0.25">
      <c r="A192" s="2">
        <v>46121</v>
      </c>
      <c r="B192" t="s">
        <v>329</v>
      </c>
      <c r="C192" t="s">
        <v>330</v>
      </c>
      <c r="D192" t="s">
        <v>259</v>
      </c>
      <c r="E192">
        <v>234</v>
      </c>
      <c r="F192">
        <v>1</v>
      </c>
      <c r="G192" t="s">
        <v>260</v>
      </c>
    </row>
    <row r="193" spans="1:7" x14ac:dyDescent="0.25">
      <c r="A193" s="2">
        <v>46121</v>
      </c>
      <c r="B193" t="s">
        <v>329</v>
      </c>
      <c r="C193" t="s">
        <v>330</v>
      </c>
      <c r="D193" t="s">
        <v>259</v>
      </c>
      <c r="E193">
        <v>234</v>
      </c>
      <c r="F193">
        <v>1</v>
      </c>
      <c r="G193" t="s">
        <v>260</v>
      </c>
    </row>
    <row r="194" spans="1:7" x14ac:dyDescent="0.25">
      <c r="A194" s="2">
        <v>46121</v>
      </c>
      <c r="B194" t="s">
        <v>329</v>
      </c>
      <c r="C194" t="s">
        <v>330</v>
      </c>
      <c r="D194" t="s">
        <v>259</v>
      </c>
      <c r="E194">
        <v>234</v>
      </c>
      <c r="F194">
        <v>1</v>
      </c>
      <c r="G194" t="s">
        <v>260</v>
      </c>
    </row>
    <row r="195" spans="1:7" x14ac:dyDescent="0.25">
      <c r="A195" s="2">
        <v>46121</v>
      </c>
      <c r="B195" t="s">
        <v>329</v>
      </c>
      <c r="C195" t="s">
        <v>330</v>
      </c>
      <c r="D195" t="s">
        <v>259</v>
      </c>
      <c r="E195">
        <v>234</v>
      </c>
      <c r="F195">
        <v>1</v>
      </c>
      <c r="G195" t="s">
        <v>260</v>
      </c>
    </row>
    <row r="196" spans="1:7" x14ac:dyDescent="0.25">
      <c r="A196" s="2">
        <v>46121</v>
      </c>
      <c r="B196" t="s">
        <v>329</v>
      </c>
      <c r="C196" t="s">
        <v>330</v>
      </c>
      <c r="D196" t="s">
        <v>259</v>
      </c>
      <c r="E196">
        <v>234</v>
      </c>
      <c r="F196">
        <v>1</v>
      </c>
      <c r="G196" t="s">
        <v>260</v>
      </c>
    </row>
    <row r="197" spans="1:7" x14ac:dyDescent="0.25">
      <c r="A197" s="2">
        <v>46121</v>
      </c>
      <c r="B197" t="s">
        <v>329</v>
      </c>
      <c r="C197" t="s">
        <v>330</v>
      </c>
      <c r="D197" t="s">
        <v>259</v>
      </c>
      <c r="E197">
        <v>234</v>
      </c>
      <c r="F197">
        <v>1</v>
      </c>
      <c r="G197" t="s">
        <v>260</v>
      </c>
    </row>
    <row r="198" spans="1:7" x14ac:dyDescent="0.25">
      <c r="A198" s="2">
        <v>46121</v>
      </c>
      <c r="B198" t="s">
        <v>329</v>
      </c>
      <c r="C198" t="s">
        <v>330</v>
      </c>
      <c r="D198" t="s">
        <v>259</v>
      </c>
      <c r="E198">
        <v>234</v>
      </c>
      <c r="F198">
        <v>1</v>
      </c>
      <c r="G198" t="s">
        <v>260</v>
      </c>
    </row>
    <row r="199" spans="1:7" x14ac:dyDescent="0.25">
      <c r="A199" s="2">
        <v>46121</v>
      </c>
      <c r="B199" t="s">
        <v>329</v>
      </c>
      <c r="C199" t="s">
        <v>330</v>
      </c>
      <c r="D199" t="s">
        <v>259</v>
      </c>
      <c r="E199">
        <v>234</v>
      </c>
      <c r="F199">
        <v>1</v>
      </c>
      <c r="G199" t="s">
        <v>260</v>
      </c>
    </row>
    <row r="200" spans="1:7" x14ac:dyDescent="0.25">
      <c r="A200" s="2">
        <v>46121</v>
      </c>
      <c r="B200" t="s">
        <v>329</v>
      </c>
      <c r="C200" t="s">
        <v>330</v>
      </c>
      <c r="D200" t="s">
        <v>259</v>
      </c>
      <c r="E200">
        <v>234</v>
      </c>
      <c r="F200">
        <v>1</v>
      </c>
      <c r="G200" t="s">
        <v>260</v>
      </c>
    </row>
    <row r="201" spans="1:7" x14ac:dyDescent="0.25">
      <c r="A201" s="2">
        <v>46121</v>
      </c>
      <c r="B201" t="s">
        <v>329</v>
      </c>
      <c r="C201" t="s">
        <v>330</v>
      </c>
      <c r="D201" t="s">
        <v>259</v>
      </c>
      <c r="E201">
        <v>234</v>
      </c>
      <c r="F201">
        <v>1</v>
      </c>
      <c r="G201" t="s">
        <v>260</v>
      </c>
    </row>
    <row r="202" spans="1:7" x14ac:dyDescent="0.25">
      <c r="A202" s="2">
        <v>46123</v>
      </c>
      <c r="B202" t="s">
        <v>329</v>
      </c>
      <c r="C202" t="s">
        <v>330</v>
      </c>
      <c r="D202" t="s">
        <v>259</v>
      </c>
      <c r="E202">
        <v>234</v>
      </c>
      <c r="F202">
        <v>1</v>
      </c>
      <c r="G202" t="s">
        <v>260</v>
      </c>
    </row>
    <row r="203" spans="1:7" x14ac:dyDescent="0.25">
      <c r="A203" s="2">
        <v>46123</v>
      </c>
      <c r="B203" t="s">
        <v>329</v>
      </c>
      <c r="C203" t="s">
        <v>330</v>
      </c>
      <c r="D203" t="s">
        <v>259</v>
      </c>
      <c r="E203">
        <v>234</v>
      </c>
      <c r="F203">
        <v>1</v>
      </c>
      <c r="G203" t="s">
        <v>260</v>
      </c>
    </row>
    <row r="204" spans="1:7" x14ac:dyDescent="0.25">
      <c r="A204" s="2">
        <v>46123</v>
      </c>
      <c r="B204" t="s">
        <v>329</v>
      </c>
      <c r="C204" t="s">
        <v>330</v>
      </c>
      <c r="D204" t="s">
        <v>259</v>
      </c>
      <c r="E204">
        <v>234</v>
      </c>
      <c r="F204">
        <v>1</v>
      </c>
      <c r="G204" t="s">
        <v>260</v>
      </c>
    </row>
    <row r="205" spans="1:7" x14ac:dyDescent="0.25">
      <c r="A205" s="2">
        <v>46123</v>
      </c>
      <c r="B205" t="s">
        <v>329</v>
      </c>
      <c r="C205" t="s">
        <v>330</v>
      </c>
      <c r="D205" t="s">
        <v>259</v>
      </c>
      <c r="E205">
        <v>234</v>
      </c>
      <c r="F205">
        <v>1</v>
      </c>
      <c r="G205" t="s">
        <v>260</v>
      </c>
    </row>
    <row r="206" spans="1:7" x14ac:dyDescent="0.25">
      <c r="A206" s="2">
        <v>46123</v>
      </c>
      <c r="B206" t="s">
        <v>329</v>
      </c>
      <c r="C206" t="s">
        <v>330</v>
      </c>
      <c r="D206" t="s">
        <v>259</v>
      </c>
      <c r="E206">
        <v>234</v>
      </c>
      <c r="F206">
        <v>1</v>
      </c>
      <c r="G206" t="s">
        <v>260</v>
      </c>
    </row>
    <row r="207" spans="1:7" x14ac:dyDescent="0.25">
      <c r="A207" s="2">
        <v>46123</v>
      </c>
      <c r="B207" t="s">
        <v>357</v>
      </c>
      <c r="C207" t="s">
        <v>358</v>
      </c>
      <c r="D207" t="s">
        <v>259</v>
      </c>
      <c r="E207">
        <v>279</v>
      </c>
      <c r="F207">
        <v>1</v>
      </c>
      <c r="G207" t="s">
        <v>260</v>
      </c>
    </row>
    <row r="208" spans="1:7" x14ac:dyDescent="0.25">
      <c r="A208" s="2">
        <v>46123</v>
      </c>
      <c r="B208" t="s">
        <v>357</v>
      </c>
      <c r="C208" t="s">
        <v>358</v>
      </c>
      <c r="D208" t="s">
        <v>259</v>
      </c>
      <c r="E208">
        <v>279</v>
      </c>
      <c r="F208">
        <v>1</v>
      </c>
      <c r="G208" t="s">
        <v>260</v>
      </c>
    </row>
    <row r="209" spans="1:7" x14ac:dyDescent="0.25">
      <c r="A209" s="2">
        <v>46123</v>
      </c>
      <c r="B209" t="s">
        <v>357</v>
      </c>
      <c r="C209" t="s">
        <v>358</v>
      </c>
      <c r="D209" t="s">
        <v>259</v>
      </c>
      <c r="E209">
        <v>279</v>
      </c>
      <c r="F209">
        <v>1</v>
      </c>
      <c r="G209" t="s">
        <v>260</v>
      </c>
    </row>
    <row r="210" spans="1:7" x14ac:dyDescent="0.25">
      <c r="A210" s="2">
        <v>46123</v>
      </c>
      <c r="B210" t="s">
        <v>53</v>
      </c>
      <c r="C210" t="s">
        <v>358</v>
      </c>
      <c r="D210" t="s">
        <v>259</v>
      </c>
      <c r="E210">
        <v>241</v>
      </c>
      <c r="F210">
        <v>1</v>
      </c>
      <c r="G210" t="s">
        <v>260</v>
      </c>
    </row>
    <row r="211" spans="1:7" x14ac:dyDescent="0.25">
      <c r="A211" s="2">
        <v>46123</v>
      </c>
      <c r="B211" t="s">
        <v>53</v>
      </c>
      <c r="C211" t="s">
        <v>358</v>
      </c>
      <c r="D211" t="s">
        <v>259</v>
      </c>
      <c r="E211">
        <v>241</v>
      </c>
      <c r="F211">
        <v>1</v>
      </c>
      <c r="G211" t="s">
        <v>260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89E0B-A30A-48EC-AC14-414FBB34DA2B}">
  <sheetPr codeName="Hoja17">
    <tabColor rgb="FF00B050"/>
  </sheetPr>
  <dimension ref="A1:U58"/>
  <sheetViews>
    <sheetView workbookViewId="0">
      <selection activeCell="D4" sqref="D4"/>
    </sheetView>
  </sheetViews>
  <sheetFormatPr baseColWidth="10" defaultRowHeight="15" x14ac:dyDescent="0.25"/>
  <cols>
    <col min="1" max="1" width="24.140625" bestFit="1" customWidth="1"/>
    <col min="2" max="2" width="17.28515625" bestFit="1" customWidth="1"/>
    <col min="3" max="3" width="49.5703125" bestFit="1" customWidth="1"/>
    <col min="4" max="4" width="14.5703125" bestFit="1" customWidth="1"/>
    <col min="5" max="5" width="19.140625" bestFit="1" customWidth="1"/>
    <col min="6" max="6" width="14.42578125" bestFit="1" customWidth="1"/>
    <col min="7" max="7" width="9.42578125" bestFit="1" customWidth="1"/>
    <col min="8" max="8" width="10.710937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83</v>
      </c>
      <c r="B3" s="6" t="s">
        <v>31</v>
      </c>
      <c r="C3" s="6" t="s">
        <v>32</v>
      </c>
      <c r="D3" s="6" t="s">
        <v>98</v>
      </c>
      <c r="E3" s="6" t="s">
        <v>99</v>
      </c>
      <c r="F3" s="6" t="s">
        <v>100</v>
      </c>
      <c r="G3" s="6" t="s">
        <v>84</v>
      </c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t="s">
        <v>215</v>
      </c>
      <c r="D4">
        <v>574</v>
      </c>
      <c r="E4">
        <v>860</v>
      </c>
      <c r="F4" s="17">
        <v>0.66744186046511633</v>
      </c>
      <c r="G4" s="3"/>
    </row>
    <row r="5" spans="1:21" x14ac:dyDescent="0.25">
      <c r="A5" t="s">
        <v>36</v>
      </c>
      <c r="D5">
        <v>913</v>
      </c>
      <c r="E5">
        <v>1075</v>
      </c>
      <c r="F5" s="10">
        <v>0.8493023255813954</v>
      </c>
      <c r="G5" s="3"/>
    </row>
    <row r="6" spans="1:21" x14ac:dyDescent="0.25">
      <c r="A6" t="s">
        <v>40</v>
      </c>
      <c r="D6">
        <v>431</v>
      </c>
      <c r="E6">
        <v>75</v>
      </c>
      <c r="F6" s="18">
        <v>5.746666666666667</v>
      </c>
      <c r="G6" s="3"/>
    </row>
    <row r="7" spans="1:21" x14ac:dyDescent="0.25">
      <c r="A7" t="s">
        <v>38</v>
      </c>
      <c r="D7">
        <v>210</v>
      </c>
      <c r="E7">
        <v>285</v>
      </c>
      <c r="F7" s="17">
        <v>0.73684210526315785</v>
      </c>
      <c r="G7" s="3"/>
    </row>
    <row r="8" spans="1:21" x14ac:dyDescent="0.25">
      <c r="A8" t="s">
        <v>212</v>
      </c>
      <c r="D8">
        <v>253</v>
      </c>
      <c r="E8">
        <v>70</v>
      </c>
      <c r="F8" s="18">
        <v>3.6142857142857143</v>
      </c>
      <c r="G8" s="3"/>
    </row>
    <row r="9" spans="1:21" x14ac:dyDescent="0.25">
      <c r="G9" s="3"/>
    </row>
    <row r="10" spans="1:21" x14ac:dyDescent="0.25">
      <c r="G10" s="3"/>
    </row>
    <row r="11" spans="1:21" x14ac:dyDescent="0.25">
      <c r="G11" s="3"/>
    </row>
    <row r="12" spans="1:21" x14ac:dyDescent="0.25">
      <c r="G12" s="3"/>
    </row>
    <row r="13" spans="1:21" x14ac:dyDescent="0.25">
      <c r="G13" s="3"/>
    </row>
    <row r="14" spans="1:21" x14ac:dyDescent="0.25">
      <c r="G14" s="3"/>
    </row>
    <row r="15" spans="1:21" x14ac:dyDescent="0.25">
      <c r="G15" s="3"/>
    </row>
    <row r="16" spans="1:21" x14ac:dyDescent="0.25">
      <c r="G16" s="3"/>
    </row>
    <row r="17" spans="7:7" x14ac:dyDescent="0.25">
      <c r="G17" s="3"/>
    </row>
    <row r="18" spans="7:7" x14ac:dyDescent="0.25">
      <c r="G18" s="3"/>
    </row>
    <row r="19" spans="7:7" x14ac:dyDescent="0.25">
      <c r="G19" s="3"/>
    </row>
    <row r="20" spans="7:7" x14ac:dyDescent="0.25">
      <c r="G20" s="3"/>
    </row>
    <row r="21" spans="7:7" x14ac:dyDescent="0.25">
      <c r="G21" s="3"/>
    </row>
    <row r="22" spans="7:7" x14ac:dyDescent="0.25">
      <c r="G22" s="3"/>
    </row>
    <row r="23" spans="7:7" x14ac:dyDescent="0.25">
      <c r="G23" s="3"/>
    </row>
    <row r="24" spans="7:7" x14ac:dyDescent="0.25">
      <c r="G24" s="3"/>
    </row>
    <row r="25" spans="7:7" x14ac:dyDescent="0.25">
      <c r="G25" s="3"/>
    </row>
    <row r="26" spans="7:7" x14ac:dyDescent="0.25">
      <c r="G26" s="3"/>
    </row>
    <row r="27" spans="7:7" x14ac:dyDescent="0.25">
      <c r="G27" s="3"/>
    </row>
    <row r="28" spans="7:7" x14ac:dyDescent="0.25">
      <c r="G28" s="3"/>
    </row>
    <row r="29" spans="7:7" x14ac:dyDescent="0.25">
      <c r="G29" s="3"/>
    </row>
    <row r="30" spans="7:7" x14ac:dyDescent="0.25">
      <c r="G30" s="3"/>
    </row>
    <row r="31" spans="7:7" x14ac:dyDescent="0.25">
      <c r="G31" s="3"/>
    </row>
    <row r="32" spans="7:7" x14ac:dyDescent="0.25">
      <c r="G32" s="3"/>
    </row>
    <row r="33" spans="7:7" x14ac:dyDescent="0.25">
      <c r="G33" s="3"/>
    </row>
    <row r="34" spans="7:7" x14ac:dyDescent="0.25">
      <c r="G34" s="3"/>
    </row>
    <row r="35" spans="7:7" x14ac:dyDescent="0.25">
      <c r="G35" s="3"/>
    </row>
    <row r="36" spans="7:7" x14ac:dyDescent="0.25">
      <c r="G36" s="3"/>
    </row>
    <row r="37" spans="7:7" x14ac:dyDescent="0.25">
      <c r="G37" s="3"/>
    </row>
    <row r="38" spans="7:7" x14ac:dyDescent="0.25">
      <c r="G38" s="3"/>
    </row>
    <row r="39" spans="7:7" x14ac:dyDescent="0.25">
      <c r="G39" s="3"/>
    </row>
    <row r="40" spans="7:7" x14ac:dyDescent="0.25">
      <c r="G40" s="3"/>
    </row>
    <row r="41" spans="7:7" x14ac:dyDescent="0.25">
      <c r="G41" s="3"/>
    </row>
    <row r="42" spans="7:7" x14ac:dyDescent="0.25">
      <c r="G42" s="3"/>
    </row>
    <row r="43" spans="7:7" x14ac:dyDescent="0.25">
      <c r="G43" s="3"/>
    </row>
    <row r="44" spans="7:7" x14ac:dyDescent="0.25">
      <c r="G44" s="3"/>
    </row>
    <row r="45" spans="7:7" x14ac:dyDescent="0.25">
      <c r="G45" s="3"/>
    </row>
    <row r="46" spans="7:7" x14ac:dyDescent="0.25">
      <c r="G46" s="3"/>
    </row>
    <row r="47" spans="7:7" x14ac:dyDescent="0.25">
      <c r="G47" s="3"/>
    </row>
    <row r="48" spans="7:7" x14ac:dyDescent="0.25">
      <c r="G48" s="3"/>
    </row>
    <row r="49" spans="7:7" x14ac:dyDescent="0.25">
      <c r="G49" s="3"/>
    </row>
    <row r="50" spans="7:7" x14ac:dyDescent="0.25">
      <c r="G50" s="3"/>
    </row>
    <row r="51" spans="7:7" x14ac:dyDescent="0.25">
      <c r="G51" s="3"/>
    </row>
    <row r="52" spans="7:7" x14ac:dyDescent="0.25">
      <c r="G52" s="3"/>
    </row>
    <row r="53" spans="7:7" x14ac:dyDescent="0.25">
      <c r="G53" s="3"/>
    </row>
    <row r="54" spans="7:7" x14ac:dyDescent="0.25">
      <c r="G54" s="3"/>
    </row>
    <row r="55" spans="7:7" x14ac:dyDescent="0.25">
      <c r="G55" s="3"/>
    </row>
    <row r="56" spans="7:7" x14ac:dyDescent="0.25">
      <c r="G56" s="3"/>
    </row>
    <row r="57" spans="7:7" x14ac:dyDescent="0.25">
      <c r="G57" s="3"/>
    </row>
    <row r="58" spans="7:7" x14ac:dyDescent="0.25">
      <c r="G58" s="3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B2317-A61E-4A0C-BDE3-10755183446D}">
  <sheetPr codeName="Hoja14"/>
  <dimension ref="A1:U53"/>
  <sheetViews>
    <sheetView topLeftCell="A10" workbookViewId="0">
      <selection activeCell="B37" sqref="B37"/>
    </sheetView>
  </sheetViews>
  <sheetFormatPr baseColWidth="10" defaultRowHeight="15" x14ac:dyDescent="0.25"/>
  <cols>
    <col min="1" max="1" width="11.42578125" style="23"/>
    <col min="2" max="2" width="49.85546875" style="23" bestFit="1" customWidth="1"/>
    <col min="3" max="16384" width="11.42578125" style="23"/>
  </cols>
  <sheetData>
    <row r="1" spans="1:21" customFormat="1" ht="15" customHeight="1" x14ac:dyDescent="0.25"/>
    <row r="2" spans="1:21" customFormat="1" ht="45" customHeight="1" x14ac:dyDescent="0.25"/>
    <row r="3" spans="1:21" customFormat="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8.75" x14ac:dyDescent="0.3">
      <c r="B4" s="28" t="s">
        <v>374</v>
      </c>
    </row>
    <row r="5" spans="1:21" x14ac:dyDescent="0.25">
      <c r="B5" s="29" t="s">
        <v>375</v>
      </c>
    </row>
    <row r="7" spans="1:21" x14ac:dyDescent="0.25">
      <c r="B7" s="30" t="s">
        <v>53</v>
      </c>
    </row>
    <row r="8" spans="1:21" x14ac:dyDescent="0.25">
      <c r="B8" s="23" t="s">
        <v>376</v>
      </c>
    </row>
    <row r="9" spans="1:21" x14ac:dyDescent="0.25">
      <c r="B9" s="23" t="s">
        <v>377</v>
      </c>
    </row>
    <row r="10" spans="1:21" x14ac:dyDescent="0.25">
      <c r="B10" s="23" t="s">
        <v>413</v>
      </c>
      <c r="C10" s="31" t="s">
        <v>378</v>
      </c>
    </row>
    <row r="11" spans="1:21" x14ac:dyDescent="0.25">
      <c r="B11" s="23" t="s">
        <v>406</v>
      </c>
    </row>
    <row r="13" spans="1:21" x14ac:dyDescent="0.25">
      <c r="B13" s="30" t="s">
        <v>403</v>
      </c>
    </row>
    <row r="14" spans="1:21" x14ac:dyDescent="0.25">
      <c r="B14" s="23" t="s">
        <v>379</v>
      </c>
    </row>
    <row r="15" spans="1:21" x14ac:dyDescent="0.25">
      <c r="B15" s="23" t="s">
        <v>380</v>
      </c>
    </row>
    <row r="16" spans="1:21" x14ac:dyDescent="0.25">
      <c r="B16" s="23" t="s">
        <v>419</v>
      </c>
      <c r="C16" s="31" t="s">
        <v>378</v>
      </c>
    </row>
    <row r="17" spans="2:3" x14ac:dyDescent="0.25">
      <c r="B17" s="23" t="s">
        <v>420</v>
      </c>
    </row>
    <row r="19" spans="2:3" x14ac:dyDescent="0.25">
      <c r="B19" s="30" t="s">
        <v>217</v>
      </c>
    </row>
    <row r="20" spans="2:3" x14ac:dyDescent="0.25">
      <c r="B20" s="23" t="s">
        <v>381</v>
      </c>
    </row>
    <row r="21" spans="2:3" x14ac:dyDescent="0.25">
      <c r="B21" s="23" t="s">
        <v>382</v>
      </c>
    </row>
    <row r="22" spans="2:3" x14ac:dyDescent="0.25">
      <c r="B22" s="23" t="s">
        <v>414</v>
      </c>
      <c r="C22" s="31" t="s">
        <v>383</v>
      </c>
    </row>
    <row r="23" spans="2:3" x14ac:dyDescent="0.25">
      <c r="B23" s="23" t="s">
        <v>407</v>
      </c>
    </row>
    <row r="25" spans="2:3" x14ac:dyDescent="0.25">
      <c r="B25" s="30" t="s">
        <v>404</v>
      </c>
    </row>
    <row r="26" spans="2:3" x14ac:dyDescent="0.25">
      <c r="B26" s="23" t="s">
        <v>384</v>
      </c>
    </row>
    <row r="27" spans="2:3" x14ac:dyDescent="0.25">
      <c r="B27" s="23" t="s">
        <v>385</v>
      </c>
    </row>
    <row r="28" spans="2:3" x14ac:dyDescent="0.25">
      <c r="B28" s="23" t="s">
        <v>414</v>
      </c>
      <c r="C28" s="31" t="s">
        <v>383</v>
      </c>
    </row>
    <row r="29" spans="2:3" x14ac:dyDescent="0.25">
      <c r="B29" s="23" t="s">
        <v>408</v>
      </c>
    </row>
    <row r="31" spans="2:3" x14ac:dyDescent="0.25">
      <c r="B31" s="30" t="s">
        <v>326</v>
      </c>
    </row>
    <row r="32" spans="2:3" x14ac:dyDescent="0.25">
      <c r="B32" s="23" t="s">
        <v>386</v>
      </c>
    </row>
    <row r="33" spans="2:3" x14ac:dyDescent="0.25">
      <c r="B33" s="23" t="s">
        <v>387</v>
      </c>
    </row>
    <row r="34" spans="2:3" x14ac:dyDescent="0.25">
      <c r="B34" s="23" t="s">
        <v>415</v>
      </c>
      <c r="C34" s="31" t="s">
        <v>388</v>
      </c>
    </row>
    <row r="35" spans="2:3" x14ac:dyDescent="0.25">
      <c r="B35" s="23" t="s">
        <v>409</v>
      </c>
    </row>
    <row r="37" spans="2:3" x14ac:dyDescent="0.25">
      <c r="B37" s="30" t="s">
        <v>298</v>
      </c>
    </row>
    <row r="38" spans="2:3" x14ac:dyDescent="0.25">
      <c r="B38" s="23" t="s">
        <v>389</v>
      </c>
    </row>
    <row r="39" spans="2:3" x14ac:dyDescent="0.25">
      <c r="B39" s="23" t="s">
        <v>390</v>
      </c>
    </row>
    <row r="40" spans="2:3" x14ac:dyDescent="0.25">
      <c r="B40" s="23" t="s">
        <v>416</v>
      </c>
      <c r="C40" s="31" t="s">
        <v>388</v>
      </c>
    </row>
    <row r="41" spans="2:3" x14ac:dyDescent="0.25">
      <c r="B41" s="23" t="s">
        <v>410</v>
      </c>
    </row>
    <row r="43" spans="2:3" x14ac:dyDescent="0.25">
      <c r="B43" s="30" t="s">
        <v>329</v>
      </c>
    </row>
    <row r="44" spans="2:3" x14ac:dyDescent="0.25">
      <c r="B44" s="23" t="s">
        <v>391</v>
      </c>
    </row>
    <row r="45" spans="2:3" x14ac:dyDescent="0.25">
      <c r="B45" s="23" t="s">
        <v>392</v>
      </c>
    </row>
    <row r="46" spans="2:3" x14ac:dyDescent="0.25">
      <c r="B46" s="23" t="s">
        <v>414</v>
      </c>
      <c r="C46" s="31" t="s">
        <v>383</v>
      </c>
    </row>
    <row r="47" spans="2:3" x14ac:dyDescent="0.25">
      <c r="B47" s="23" t="s">
        <v>411</v>
      </c>
    </row>
    <row r="49" spans="2:3" x14ac:dyDescent="0.25">
      <c r="B49" s="30" t="s">
        <v>357</v>
      </c>
    </row>
    <row r="50" spans="2:3" x14ac:dyDescent="0.25">
      <c r="B50" s="23" t="s">
        <v>393</v>
      </c>
    </row>
    <row r="51" spans="2:3" x14ac:dyDescent="0.25">
      <c r="B51" s="23" t="s">
        <v>394</v>
      </c>
    </row>
    <row r="52" spans="2:3" x14ac:dyDescent="0.25">
      <c r="B52" s="23" t="s">
        <v>417</v>
      </c>
      <c r="C52" s="31" t="s">
        <v>396</v>
      </c>
    </row>
    <row r="53" spans="2:3" x14ac:dyDescent="0.25">
      <c r="B53" s="23" t="s">
        <v>412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D2792-26C3-4E0A-B671-95C69506FD39}">
  <sheetPr codeName="Hoja18">
    <tabColor rgb="FF808080"/>
  </sheetPr>
  <dimension ref="A1:U3"/>
  <sheetViews>
    <sheetView workbookViewId="0">
      <selection activeCell="H14" sqref="H14"/>
    </sheetView>
  </sheetViews>
  <sheetFormatPr baseColWidth="10" defaultRowHeight="15" x14ac:dyDescent="0.25"/>
  <sheetData>
    <row r="1" spans="1:21" ht="15" customHeight="1" x14ac:dyDescent="0.25"/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5CBE-953D-4B44-9745-FBACCEA50296}">
  <sheetPr codeName="Hoja21"/>
  <dimension ref="A1:U3"/>
  <sheetViews>
    <sheetView workbookViewId="0"/>
  </sheetViews>
  <sheetFormatPr baseColWidth="10" defaultRowHeight="15" x14ac:dyDescent="0.25"/>
  <sheetData>
    <row r="1" spans="1:21" ht="15" customHeight="1" x14ac:dyDescent="0.25"/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256E5-B144-436D-A117-903606537FDC}">
  <sheetPr codeName="Hoja22"/>
  <dimension ref="A1:U3"/>
  <sheetViews>
    <sheetView workbookViewId="0">
      <selection activeCell="A2" sqref="A2"/>
    </sheetView>
  </sheetViews>
  <sheetFormatPr baseColWidth="10" defaultRowHeight="15" x14ac:dyDescent="0.25"/>
  <sheetData>
    <row r="1" spans="1:21" ht="15" customHeight="1" x14ac:dyDescent="0.25">
      <c r="A1" t="s">
        <v>254</v>
      </c>
    </row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Hoja1</vt:lpstr>
      <vt:lpstr>INICIO</vt:lpstr>
      <vt:lpstr>MANUAL</vt:lpstr>
      <vt:lpstr>ASIGNACIONES_DIARIAS</vt:lpstr>
      <vt:lpstr>OPERARIAS</vt:lpstr>
      <vt:lpstr>REFERENCIAS</vt:lpstr>
      <vt:lpstr>COLORES</vt:lpstr>
      <vt:lpstr>TALLAS</vt:lpstr>
      <vt:lpstr>TAREAS</vt:lpstr>
      <vt:lpstr>LOTES</vt:lpstr>
      <vt:lpstr>PARAMETROS</vt:lpstr>
      <vt:lpstr>DIAS_NO_LABORALES</vt:lpstr>
      <vt:lpstr>EFICIENCIA_OPERARIAS</vt:lpstr>
      <vt:lpstr>AVANCE_PRODUCCION</vt:lpstr>
      <vt:lpstr>REPORTE_LOTES</vt:lpstr>
      <vt:lpstr>RESUMEN_DIARIO</vt:lpstr>
      <vt:lpstr>PRODUCCION_FINALIZADA</vt:lpstr>
      <vt:lpstr>ANALISIS_TIEMPOS</vt:lpstr>
      <vt:lpstr>INFORME_CONSOLIDADO</vt:lpstr>
      <vt:lpstr>ARCHIVO_ASIGNACIONES</vt:lpstr>
      <vt:lpstr>MATRIZ_ASIGNACION</vt:lpstr>
      <vt:lpstr>TRAZABILIDAD_LOTE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Hogar</dc:creator>
  <cp:lastModifiedBy>PC Hogar</cp:lastModifiedBy>
  <dcterms:created xsi:type="dcterms:W3CDTF">2026-03-01T00:11:59Z</dcterms:created>
  <dcterms:modified xsi:type="dcterms:W3CDTF">2026-04-12T01:23:24Z</dcterms:modified>
</cp:coreProperties>
</file>